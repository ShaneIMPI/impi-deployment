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200" windowHeight="19880" tabRatio="500" firstSheet="0" activeTab="4" autoFilterDateGrouping="1"/>
  </bookViews>
  <sheets>
    <sheet xmlns:r="http://schemas.openxmlformats.org/officeDocument/2006/relationships" name="Instructions" sheetId="1" state="visible" r:id="rId1"/>
    <sheet xmlns:r="http://schemas.openxmlformats.org/officeDocument/2006/relationships" name="Setup" sheetId="2" state="visible" r:id="rId2"/>
    <sheet xmlns:r="http://schemas.openxmlformats.org/officeDocument/2006/relationships" name="Rate Card" sheetId="3" state="visible" r:id="rId3"/>
    <sheet xmlns:r="http://schemas.openxmlformats.org/officeDocument/2006/relationships" name="Builder" sheetId="4" state="visible" r:id="rId4"/>
    <sheet xmlns:r="http://schemas.openxmlformats.org/officeDocument/2006/relationships" name="Quotation" sheetId="5" state="visible" r:id="rId5"/>
  </sheets>
  <definedNames>
    <definedName name="_xlnm.Print_Area" localSheetId="0">'Instructions'!$B$1:$C$70</definedName>
    <definedName name="_xlnm.Print_Area" localSheetId="1">'Setup'!$B$1:$F$47</definedName>
    <definedName name="_xlnm.Print_Area" localSheetId="2">'Rate Card'!$B$1:$D$36</definedName>
    <definedName name="_xlnm.Print_Area" localSheetId="3">'Builder'!$B$1:$S$54</definedName>
    <definedName name="_xlnm.Print_Area" localSheetId="4">'Quotation'!$B$1:$G$195</definedName>
  </definedNames>
  <calcPr calcId="191029" fullCalcOnLoad="1" forceFullCalc="1"/>
</workbook>
</file>

<file path=xl/styles.xml><?xml version="1.0" encoding="utf-8"?>
<styleSheet xmlns="http://schemas.openxmlformats.org/spreadsheetml/2006/main">
  <numFmts count="5">
    <numFmt numFmtId="164" formatCode="d\-mmm\-yy"/>
    <numFmt numFmtId="165" formatCode="&quot;R &quot;#,##0.00;[Red]&quot;-R &quot;#,##0.00;\-"/>
    <numFmt numFmtId="166" formatCode="d\ mmm\ yyyy"/>
    <numFmt numFmtId="167" formatCode="d\ mmmm\ yyyy"/>
    <numFmt numFmtId="168" formatCode="&quot;R &quot;#,##0.00;[Red]&quot;-R &quot;#,##0.00;\-"/>
  </numFmts>
  <fonts count="34">
    <font>
      <name val="Calibri"/>
      <charset val="1"/>
      <family val="2"/>
      <color theme="1"/>
      <sz val="11"/>
    </font>
    <font>
      <name val="Arial"/>
      <family val="2"/>
      <b val="1"/>
      <color rgb="FFFFFFFF"/>
      <sz val="20"/>
    </font>
    <font>
      <name val="Arial"/>
      <family val="2"/>
      <b val="1"/>
      <i val="1"/>
      <color rgb="FF231F20"/>
      <sz val="12"/>
    </font>
    <font>
      <name val="Arial"/>
      <family val="2"/>
      <b val="1"/>
      <color rgb="FFFFFFFF"/>
      <sz val="13"/>
    </font>
    <font>
      <name val="Arial"/>
      <family val="2"/>
      <color rgb="FF231F20"/>
      <sz val="11"/>
    </font>
    <font>
      <name val="Arial"/>
      <family val="2"/>
      <b val="1"/>
      <color rgb="FFFFFFFF"/>
      <sz val="18"/>
    </font>
    <font>
      <name val="Arial"/>
      <family val="2"/>
      <b val="1"/>
      <color rgb="FFFFFFFF"/>
      <sz val="12"/>
    </font>
    <font>
      <name val="Arial"/>
      <family val="2"/>
      <b val="1"/>
      <color rgb="FF4A4A4A"/>
      <sz val="10.5"/>
    </font>
    <font>
      <name val="Arial"/>
      <family val="2"/>
      <color rgb="FF1F4E78"/>
      <sz val="10.5"/>
    </font>
    <font>
      <name val="Arial"/>
      <family val="2"/>
      <b val="1"/>
      <color rgb="FF1F4E78"/>
      <sz val="10.5"/>
    </font>
    <font>
      <name val="Arial"/>
      <family val="2"/>
      <color rgb="FF231F20"/>
      <sz val="10"/>
    </font>
    <font>
      <name val="Arial"/>
      <family val="2"/>
      <b val="1"/>
      <color rgb="FFFFFFFF"/>
      <sz val="16"/>
    </font>
    <font>
      <name val="Arial"/>
      <family val="2"/>
      <i val="1"/>
      <color rgb="FF4A4A4A"/>
      <sz val="10"/>
    </font>
    <font>
      <name val="Arial"/>
      <family val="2"/>
      <b val="1"/>
      <color rgb="FFFFFFFF"/>
      <sz val="10"/>
    </font>
    <font>
      <name val="Arial"/>
      <family val="2"/>
      <i val="1"/>
      <color rgb="FF9C6500"/>
      <sz val="10.5"/>
    </font>
    <font>
      <name val="Arial"/>
      <family val="2"/>
      <i val="1"/>
      <color rgb="FF9C6500"/>
      <sz val="9.5"/>
    </font>
    <font>
      <name val="Arial"/>
      <family val="2"/>
      <b val="1"/>
      <i val="1"/>
      <color rgb="FFFFFFFF"/>
      <sz val="10"/>
    </font>
    <font>
      <name val="Arial"/>
      <family val="2"/>
      <i val="1"/>
      <color rgb="FFFFFFFF"/>
      <sz val="9"/>
    </font>
    <font>
      <name val="Arial"/>
      <family val="2"/>
      <b val="1"/>
      <color rgb="FFFFFFFF"/>
      <sz val="9.5"/>
    </font>
    <font>
      <name val="Arial"/>
      <family val="2"/>
      <i val="1"/>
      <color rgb="FF808080"/>
      <sz val="9.5"/>
    </font>
    <font>
      <name val="Arial"/>
      <family val="2"/>
      <b val="1"/>
      <color rgb="FF231F20"/>
      <sz val="26"/>
    </font>
    <font>
      <name val="Arial"/>
      <family val="2"/>
      <b val="1"/>
      <color rgb="FFE2231A"/>
      <sz val="10.5"/>
    </font>
    <font>
      <name val="Arial"/>
      <family val="2"/>
      <color rgb="FF4A4A4A"/>
      <sz val="10.5"/>
    </font>
    <font>
      <name val="Arial"/>
      <family val="2"/>
      <color rgb="FF231F20"/>
      <sz val="10.5"/>
    </font>
    <font>
      <name val="Arial"/>
      <family val="2"/>
      <b val="1"/>
      <color rgb="FF231F20"/>
      <sz val="10.5"/>
    </font>
    <font>
      <name val="Arial"/>
      <family val="2"/>
      <b val="1"/>
      <color rgb="FFFFFFFF"/>
      <sz val="10.5"/>
    </font>
    <font>
      <name val="Arial"/>
      <family val="2"/>
      <i val="1"/>
      <color rgb="FF4A4A4A"/>
      <sz val="9"/>
    </font>
    <font>
      <name val="Arial"/>
      <family val="2"/>
      <b val="1"/>
      <color rgb="FFFFFFFF"/>
      <sz val="11"/>
    </font>
    <font>
      <name val="Arial"/>
      <family val="2"/>
      <color rgb="FF231F20"/>
      <sz val="9.5"/>
    </font>
    <font>
      <name val="Arial"/>
      <family val="2"/>
      <i val="1"/>
      <color rgb="FF231F20"/>
      <sz val="9.5"/>
    </font>
    <font>
      <name val="Arial"/>
      <family val="2"/>
      <color rgb="FFFFFFFF"/>
      <sz val="8"/>
    </font>
    <font>
      <name val="Arial"/>
      <family val="2"/>
      <color rgb="FF1F4E78"/>
      <sz val="10.5"/>
    </font>
    <font>
      <name val="Arial"/>
      <family val="2"/>
      <color rgb="FF231F20"/>
      <sz val="10.5"/>
    </font>
    <font>
      <name val="Arial"/>
      <family val="2"/>
      <i val="1"/>
      <color rgb="FF4A4A4A"/>
      <sz val="9.5"/>
    </font>
  </fonts>
  <fills count="9">
    <fill>
      <patternFill/>
    </fill>
    <fill>
      <patternFill patternType="gray125"/>
    </fill>
    <fill>
      <patternFill patternType="solid">
        <fgColor rgb="FFE2231A"/>
        <bgColor rgb="FF993300"/>
      </patternFill>
    </fill>
    <fill>
      <patternFill patternType="solid">
        <fgColor rgb="FFFFC72C"/>
        <bgColor rgb="FFFFCC99"/>
      </patternFill>
    </fill>
    <fill>
      <patternFill patternType="solid">
        <fgColor rgb="FF231F20"/>
        <bgColor rgb="FF003300"/>
      </patternFill>
    </fill>
    <fill>
      <patternFill patternType="solid">
        <fgColor rgb="FFF2F2F2"/>
        <bgColor rgb="FFFFF6DD"/>
      </patternFill>
    </fill>
    <fill>
      <patternFill patternType="solid">
        <fgColor rgb="FFFFFFFF"/>
        <bgColor rgb="FFF2F2F2"/>
      </patternFill>
    </fill>
    <fill>
      <patternFill patternType="solid">
        <fgColor rgb="FFFFF6DD"/>
        <bgColor rgb="FFF2F2F2"/>
      </patternFill>
    </fill>
    <fill>
      <patternFill patternType="solid">
        <fgColor rgb="FF4A4A4A"/>
        <bgColor rgb="FF1F4E78"/>
      </patternFill>
    </fill>
  </fills>
  <borders count="14">
    <border>
      <left/>
      <right/>
      <top/>
      <bottom/>
      <diagonal/>
    </border>
    <border>
      <left/>
      <right/>
      <top/>
      <bottom style="thin">
        <color rgb="FFD9D9D9"/>
      </bottom>
      <diagonal/>
    </border>
    <border>
      <left style="thin">
        <color rgb="FFD9D9D9"/>
      </left>
      <right style="thin">
        <color rgb="FFD9D9D9"/>
      </right>
      <top style="thin">
        <color rgb="FFD9D9D9"/>
      </top>
      <bottom style="thin">
        <color rgb="FFD9D9D9"/>
      </bottom>
      <diagonal/>
    </border>
    <border>
      <left/>
      <right/>
      <top/>
      <bottom style="medium">
        <color rgb="FFE2231A"/>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top style="thin">
        <color rgb="FFD9D9D9"/>
      </top>
      <bottom style="thin">
        <color rgb="FFD9D9D9"/>
      </bottom>
      <diagonal/>
    </border>
    <border>
      <left/>
      <right/>
      <top style="thin">
        <color rgb="FFD9D9D9"/>
      </top>
      <bottom/>
      <diagonal/>
    </border>
    <border>
      <left style="thin">
        <color rgb="FFD9D9D9"/>
      </left>
      <right/>
      <top/>
      <bottom/>
      <diagonal/>
    </border>
    <border>
      <left/>
      <right style="thin">
        <color rgb="FFD9D9D9"/>
      </right>
      <top style="thin">
        <color rgb="FFD9D9D9"/>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90">
    <xf numFmtId="0" fontId="0" fillId="0" borderId="0" pivotButton="0" quotePrefix="0" xfId="0"/>
    <xf numFmtId="0" fontId="7" fillId="5" borderId="1" applyAlignment="1" pivotButton="0" quotePrefix="0" xfId="0">
      <alignment horizontal="left" vertical="center"/>
    </xf>
    <xf numFmtId="0" fontId="8" fillId="6" borderId="1" applyAlignment="1" pivotButton="0" quotePrefix="0" xfId="0">
      <alignment horizontal="left" vertical="center"/>
    </xf>
    <xf numFmtId="0" fontId="9" fillId="6" borderId="1" applyAlignment="1" pivotButton="0" quotePrefix="0" xfId="0">
      <alignment horizontal="left" vertical="center"/>
    </xf>
    <xf numFmtId="164" fontId="8" fillId="6" borderId="1" applyAlignment="1" pivotButton="0" quotePrefix="0" xfId="0">
      <alignment horizontal="left" vertical="center"/>
    </xf>
    <xf numFmtId="9" fontId="8" fillId="6" borderId="1" applyAlignment="1" pivotButton="0" quotePrefix="0" xfId="0">
      <alignment horizontal="left" vertical="center"/>
    </xf>
    <xf numFmtId="0" fontId="13" fillId="4" borderId="2" applyAlignment="1" pivotButton="0" quotePrefix="0" xfId="0">
      <alignment horizontal="center" vertical="center" wrapText="1"/>
    </xf>
    <xf numFmtId="0" fontId="8" fillId="0" borderId="1" applyAlignment="1" pivotButton="0" quotePrefix="0" xfId="0">
      <alignment horizontal="left" vertical="center" indent="1"/>
    </xf>
    <xf numFmtId="0" fontId="8" fillId="0" borderId="1" applyAlignment="1" pivotButton="0" quotePrefix="0" xfId="0">
      <alignment horizontal="center" vertical="center"/>
    </xf>
    <xf numFmtId="165" fontId="8" fillId="0" borderId="1" applyAlignment="1" pivotButton="0" quotePrefix="0" xfId="0">
      <alignment horizontal="center" vertical="center"/>
    </xf>
    <xf numFmtId="165" fontId="14" fillId="7" borderId="1" applyAlignment="1" pivotButton="0" quotePrefix="0" xfId="0">
      <alignment horizontal="center" vertical="center"/>
    </xf>
    <xf numFmtId="0" fontId="18" fillId="4" borderId="2" applyAlignment="1" pivotButton="0" quotePrefix="0" xfId="0">
      <alignment horizontal="center" vertical="center" wrapText="1"/>
    </xf>
    <xf numFmtId="0" fontId="18" fillId="8" borderId="2" applyAlignment="1" pivotButton="0" quotePrefix="0" xfId="0">
      <alignment horizontal="center" vertical="center" wrapText="1"/>
    </xf>
    <xf numFmtId="0" fontId="8" fillId="0" borderId="1" applyAlignment="1" applyProtection="1" pivotButton="0" quotePrefix="0" xfId="0">
      <alignment horizontal="left" vertical="center" indent="1"/>
      <protection locked="0" hidden="0"/>
    </xf>
    <xf numFmtId="166" fontId="8" fillId="0" borderId="1" applyAlignment="1" applyProtection="1" pivotButton="0" quotePrefix="0" xfId="0">
      <alignment horizontal="center" vertical="center"/>
      <protection locked="0" hidden="0"/>
    </xf>
    <xf numFmtId="0" fontId="8" fillId="0" borderId="1" applyAlignment="1" applyProtection="1" pivotButton="0" quotePrefix="0" xfId="0">
      <alignment horizontal="center" vertical="center"/>
      <protection locked="0" hidden="0"/>
    </xf>
    <xf numFmtId="20" fontId="8" fillId="0"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wrapText="1" indent="1"/>
      <protection locked="0" hidden="0"/>
    </xf>
    <xf numFmtId="0" fontId="8" fillId="0" borderId="1" applyAlignment="1" applyProtection="1" pivotButton="0" quotePrefix="0" xfId="0">
      <alignment horizontal="left" vertical="center" wrapText="1"/>
      <protection locked="0" hidden="0"/>
    </xf>
    <xf numFmtId="165" fontId="8" fillId="0" borderId="1" applyAlignment="1" applyProtection="1" pivotButton="0" quotePrefix="0" xfId="0">
      <alignment horizontal="center" vertical="center"/>
      <protection locked="0" hidden="0"/>
    </xf>
    <xf numFmtId="0" fontId="19" fillId="5" borderId="1" applyAlignment="1" pivotButton="0" quotePrefix="0" xfId="0">
      <alignment horizontal="left" vertical="center"/>
    </xf>
    <xf numFmtId="165" fontId="19" fillId="5" borderId="1" applyAlignment="1" pivotButton="0" quotePrefix="0" xfId="0">
      <alignment horizontal="center" vertical="center"/>
    </xf>
    <xf numFmtId="0" fontId="19" fillId="5" borderId="1" applyAlignment="1" pivotButton="0" quotePrefix="0" xfId="0">
      <alignment horizontal="center" vertical="center"/>
    </xf>
    <xf numFmtId="0" fontId="21" fillId="0" borderId="0" applyAlignment="1" pivotButton="0" quotePrefix="0" xfId="0">
      <alignment horizontal="right" vertical="center"/>
    </xf>
    <xf numFmtId="167" fontId="23" fillId="0" borderId="0" applyAlignment="1" pivotButton="0" quotePrefix="0" xfId="0">
      <alignment horizontal="right" vertical="center"/>
    </xf>
    <xf numFmtId="0" fontId="24" fillId="0" borderId="0" applyAlignment="1" pivotButton="0" quotePrefix="0" xfId="0">
      <alignment horizontal="right" vertical="center"/>
    </xf>
    <xf numFmtId="0" fontId="24" fillId="5" borderId="4" applyAlignment="1" pivotButton="0" quotePrefix="0" xfId="0">
      <alignment horizontal="right" vertical="center" indent="1"/>
    </xf>
    <xf numFmtId="165" fontId="24" fillId="5" borderId="5" applyAlignment="1" pivotButton="0" quotePrefix="0" xfId="0">
      <alignment horizontal="right" vertical="center"/>
    </xf>
    <xf numFmtId="0" fontId="6" fillId="2" borderId="4" applyAlignment="1" pivotButton="0" quotePrefix="0" xfId="0">
      <alignment horizontal="right" vertical="center" indent="1"/>
    </xf>
    <xf numFmtId="165" fontId="3" fillId="2" borderId="5" applyAlignment="1" pivotButton="0" quotePrefix="0" xfId="0">
      <alignment horizontal="right" vertical="center"/>
    </xf>
    <xf numFmtId="0" fontId="31" fillId="0" borderId="1" applyAlignment="1" pivotButton="0" quotePrefix="0" xfId="0">
      <alignment horizontal="left" vertical="center" indent="1"/>
    </xf>
    <xf numFmtId="166" fontId="31" fillId="0" borderId="1" applyAlignment="1" applyProtection="1" pivotButton="0" quotePrefix="0" xfId="0">
      <alignment horizontal="center" vertical="center"/>
      <protection locked="0" hidden="0"/>
    </xf>
    <xf numFmtId="0" fontId="31" fillId="0" borderId="1" applyAlignment="1" applyProtection="1" pivotButton="0" quotePrefix="0" xfId="0">
      <alignment horizontal="left" vertical="center" wrapText="1"/>
      <protection locked="0" hidden="0"/>
    </xf>
    <xf numFmtId="0" fontId="31" fillId="0" borderId="1" applyAlignment="1" applyProtection="1" pivotButton="0" quotePrefix="0" xfId="0">
      <alignment horizontal="center" vertical="center"/>
      <protection locked="0" hidden="0"/>
    </xf>
    <xf numFmtId="0" fontId="31" fillId="0" borderId="1" applyAlignment="1" applyProtection="1" pivotButton="0" quotePrefix="0" xfId="0">
      <alignment horizontal="left" vertical="center" indent="1"/>
      <protection locked="0" hidden="0"/>
    </xf>
    <xf numFmtId="165" fontId="31" fillId="0" borderId="1" applyAlignment="1" applyProtection="1" pivotButton="0" quotePrefix="0" xfId="0">
      <alignment horizontal="center" vertical="center"/>
      <protection locked="0" hidden="0"/>
    </xf>
    <xf numFmtId="0" fontId="8" fillId="0" borderId="0" applyAlignment="1" applyProtection="1" pivotButton="0" quotePrefix="0" xfId="0">
      <alignment horizontal="left" vertical="center" indent="1"/>
      <protection locked="0" hidden="0"/>
    </xf>
    <xf numFmtId="166" fontId="8"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20" fontId="8"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wrapText="1"/>
      <protection locked="0" hidden="0"/>
    </xf>
    <xf numFmtId="165" fontId="8" fillId="0" borderId="0" applyAlignment="1" applyProtection="1" pivotButton="0" quotePrefix="0" xfId="0">
      <alignment horizontal="center" vertical="center"/>
      <protection locked="0" hidden="0"/>
    </xf>
    <xf numFmtId="0" fontId="19" fillId="5" borderId="0" applyAlignment="1" pivotButton="0" quotePrefix="0" xfId="0">
      <alignment horizontal="left" vertical="center"/>
    </xf>
    <xf numFmtId="165" fontId="19" fillId="5" borderId="0" applyAlignment="1" pivotButton="0" quotePrefix="0" xfId="0">
      <alignment horizontal="center" vertical="center"/>
    </xf>
    <xf numFmtId="0" fontId="19" fillId="5" borderId="0" applyAlignment="1" pivotButton="0" quotePrefix="0" xfId="0">
      <alignment horizontal="center" vertical="center"/>
    </xf>
    <xf numFmtId="0" fontId="13" fillId="4" borderId="6" applyAlignment="1" pivotButton="0" quotePrefix="0" xfId="0">
      <alignment horizontal="center" vertical="center"/>
    </xf>
    <xf numFmtId="0" fontId="32" fillId="0" borderId="7" applyAlignment="1" pivotButton="0" quotePrefix="0" xfId="0">
      <alignment horizontal="center" vertical="center"/>
    </xf>
    <xf numFmtId="0" fontId="32" fillId="0" borderId="7" applyAlignment="1" pivotButton="0" quotePrefix="0" xfId="0">
      <alignment horizontal="left" vertical="center" wrapText="1"/>
    </xf>
    <xf numFmtId="0" fontId="33" fillId="0" borderId="7" applyAlignment="1" pivotButton="0" quotePrefix="0" xfId="0">
      <alignment horizontal="left" vertical="center" wrapText="1"/>
    </xf>
    <xf numFmtId="168" fontId="32" fillId="0" borderId="7" applyAlignment="1" pivotButton="0" quotePrefix="0" xfId="0">
      <alignment horizontal="right" vertical="center"/>
    </xf>
    <xf numFmtId="0" fontId="24" fillId="3" borderId="2" applyAlignment="1" pivotButton="0" quotePrefix="0" xfId="0">
      <alignment horizontal="center" vertical="center" wrapText="1"/>
    </xf>
    <xf numFmtId="49" fontId="8" fillId="6" borderId="1" applyAlignment="1" pivotButton="0" quotePrefix="0" xfId="0">
      <alignment horizontal="left" vertical="center"/>
    </xf>
    <xf numFmtId="0" fontId="29" fillId="0" borderId="0" applyAlignment="1" pivotButton="0" quotePrefix="0" xfId="0">
      <alignment horizontal="left" vertical="center" wrapText="1"/>
    </xf>
    <xf numFmtId="0" fontId="24" fillId="0" borderId="0" applyAlignment="1" pivotButton="0" quotePrefix="0" xfId="0">
      <alignment horizontal="left" vertical="center"/>
    </xf>
    <xf numFmtId="0" fontId="30" fillId="4" borderId="0" applyAlignment="1" pivotButton="0" quotePrefix="0" xfId="0">
      <alignment horizontal="center" vertical="center"/>
    </xf>
    <xf numFmtId="0" fontId="10" fillId="0" borderId="0" applyAlignment="1" pivotButton="0" quotePrefix="0" xfId="0">
      <alignment horizontal="left" vertical="center"/>
    </xf>
    <xf numFmtId="0" fontId="27" fillId="4" borderId="0" applyAlignment="1" pivotButton="0" quotePrefix="0" xfId="0">
      <alignment horizontal="left" vertical="center" indent="1"/>
    </xf>
    <xf numFmtId="0" fontId="28" fillId="0" borderId="0" applyAlignment="1" pivotButton="0" quotePrefix="0" xfId="0">
      <alignment horizontal="left" vertical="top" wrapText="1" indent="1"/>
    </xf>
    <xf numFmtId="0" fontId="18" fillId="4" borderId="2" applyAlignment="1" pivotButton="0" quotePrefix="0" xfId="0">
      <alignment horizontal="center" vertical="center" wrapText="1"/>
    </xf>
    <xf numFmtId="0" fontId="24" fillId="3" borderId="2" applyAlignment="1" pivotButton="0" quotePrefix="0" xfId="0">
      <alignment horizontal="center" vertical="center" wrapText="1"/>
    </xf>
    <xf numFmtId="0" fontId="26" fillId="0" borderId="0" applyAlignment="1" pivotButton="0" quotePrefix="0" xfId="0">
      <alignment horizontal="left" vertical="center"/>
    </xf>
    <xf numFmtId="0" fontId="23" fillId="0" borderId="0" applyAlignment="1" pivotButton="0" quotePrefix="0" xfId="0">
      <alignment horizontal="left" vertical="center"/>
    </xf>
    <xf numFmtId="0" fontId="0" fillId="0" borderId="0" pivotButton="0" quotePrefix="0" xfId="0"/>
    <xf numFmtId="0" fontId="0" fillId="0" borderId="3" pivotButton="0" quotePrefix="0" xfId="0"/>
    <xf numFmtId="0" fontId="25" fillId="4" borderId="0" applyAlignment="1" pivotButton="0" quotePrefix="0" xfId="0">
      <alignment horizontal="left" vertical="center" indent="1"/>
    </xf>
    <xf numFmtId="0" fontId="0" fillId="2" borderId="0" pivotButton="0" quotePrefix="0" xfId="0"/>
    <xf numFmtId="0" fontId="20" fillId="0" borderId="0" applyAlignment="1" pivotButton="0" quotePrefix="0" xfId="0">
      <alignment horizontal="right" vertical="center"/>
    </xf>
    <xf numFmtId="0" fontId="7" fillId="0" borderId="0" applyAlignment="1" pivotButton="0" quotePrefix="0" xfId="0">
      <alignment horizontal="right" vertical="center"/>
    </xf>
    <xf numFmtId="0" fontId="22" fillId="0" borderId="0" applyAlignment="1" pivotButton="0" quotePrefix="0" xfId="0">
      <alignment horizontal="right" vertical="center"/>
    </xf>
    <xf numFmtId="0" fontId="4" fillId="0" borderId="0" applyAlignment="1" pivotButton="0" quotePrefix="0" xfId="0">
      <alignment horizontal="left" vertical="top" wrapText="1" indent="1"/>
    </xf>
    <xf numFmtId="0" fontId="3" fillId="4" borderId="0" applyAlignment="1" pivotButton="0" quotePrefix="0" xfId="0">
      <alignment horizontal="left" vertical="center" indent="1"/>
    </xf>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6" fillId="2" borderId="0" applyAlignment="1" pivotButton="0" quotePrefix="0" xfId="0">
      <alignment horizontal="left" vertical="center" indent="1"/>
    </xf>
    <xf numFmtId="0" fontId="10" fillId="6" borderId="2" applyAlignment="1" pivotButton="0" quotePrefix="0" xfId="0">
      <alignment horizontal="left" vertical="top" wrapText="1" indent="1"/>
    </xf>
    <xf numFmtId="0" fontId="5" fillId="4" borderId="0" applyAlignment="1" pivotButton="0" quotePrefix="0" xfId="0">
      <alignment horizontal="left" vertical="center" indent="1"/>
    </xf>
    <xf numFmtId="0" fontId="11" fillId="4" borderId="0" applyAlignment="1" pivotButton="0" quotePrefix="0" xfId="0">
      <alignment horizontal="left" vertical="center" indent="1"/>
    </xf>
    <xf numFmtId="0" fontId="12" fillId="3" borderId="0" applyAlignment="1" pivotButton="0" quotePrefix="0" xfId="0">
      <alignment horizontal="left" vertical="center" wrapText="1" indent="1"/>
    </xf>
    <xf numFmtId="0" fontId="15" fillId="0" borderId="0" applyAlignment="1" pivotButton="0" quotePrefix="0" xfId="0">
      <alignment horizontal="left" vertical="center"/>
    </xf>
    <xf numFmtId="0" fontId="16" fillId="8" borderId="0" applyAlignment="1" pivotButton="0" quotePrefix="0" xfId="0">
      <alignment horizontal="center" vertical="center"/>
    </xf>
    <xf numFmtId="0" fontId="17" fillId="8" borderId="0" applyAlignment="1" pivotButton="0" quotePrefix="0" xfId="0">
      <alignment horizontal="center" vertical="center" wrapText="1"/>
    </xf>
    <xf numFmtId="0" fontId="0" fillId="0" borderId="8" pivotButton="0" quotePrefix="0" xfId="0"/>
    <xf numFmtId="0" fontId="0" fillId="0" borderId="10" pivotButton="0" quotePrefix="0" xfId="0"/>
    <xf numFmtId="0" fontId="0" fillId="0" borderId="9" pivotButton="0" quotePrefix="0" xfId="0"/>
    <xf numFmtId="0" fontId="0" fillId="0" borderId="11" pivotButton="0" quotePrefix="0" xfId="0"/>
    <xf numFmtId="0" fontId="0" fillId="0" borderId="12" pivotButton="0" quotePrefix="0" xfId="0"/>
    <xf numFmtId="0" fontId="0" fillId="0" borderId="1" pivotButton="0" quotePrefix="0" xfId="0"/>
    <xf numFmtId="0" fontId="0" fillId="0" borderId="13" pivotButton="0" quotePrefix="0" xfId="0"/>
    <xf numFmtId="0" fontId="0" fillId="0" borderId="5" pivotButton="0" quotePrefix="0" xfId="0"/>
  </cellXfs>
  <cellStyles count="1">
    <cellStyle name="Normal" xfId="0" builtinId="0"/>
  </cellStyles>
  <dxfs count="1">
    <dxf>
      <font>
        <b val="1"/>
      </font>
      <fill>
        <patternFill patternType="solid">
          <fgColor indexed="64"/>
          <bgColor rgb="FFD9D9D9"/>
        </patternFill>
      </fill>
      <border>
        <top style="thin">
          <color rgb="FFD9D9D9"/>
        </top>
      </border>
    </dxf>
  </dxfs>
  <tableStyles count="0" defaultTableStyle="TableStyleMedium2" defaultPivotStyle="PivotStyleLight16"/>
  <colors>
    <indexedColors>
      <rgbColor rgb="FF000000"/>
      <rgbColor rgb="FFFFFFFF"/>
      <rgbColor rgb="FFE2231A"/>
      <rgbColor rgb="FF00FF00"/>
      <rgbColor rgb="FF0000FF"/>
      <rgbColor rgb="FFFFFF00"/>
      <rgbColor rgb="FFFF00FF"/>
      <rgbColor rgb="FF00FFFF"/>
      <rgbColor rgb="FF800000"/>
      <rgbColor rgb="FF008000"/>
      <rgbColor rgb="FF000080"/>
      <rgbColor rgb="FF9C6500"/>
      <rgbColor rgb="FF800080"/>
      <rgbColor rgb="FF008080"/>
      <rgbColor rgb="FFC0C0C0"/>
      <rgbColor rgb="FF808080"/>
      <rgbColor rgb="FF9999FF"/>
      <rgbColor rgb="FF993366"/>
      <rgbColor rgb="FFFFF6DD"/>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72C"/>
      <rgbColor rgb="FFFF9900"/>
      <rgbColor rgb="FFFF6600"/>
      <rgbColor rgb="FF666699"/>
      <rgbColor rgb="FF969696"/>
      <rgbColor rgb="FF003366"/>
      <rgbColor rgb="FF339966"/>
      <rgbColor rgb="FF003300"/>
      <rgbColor rgb="FF4A4A4A"/>
      <rgbColor rgb="FF993300"/>
      <rgbColor rgb="FF993366"/>
      <rgbColor rgb="FF1F4E78"/>
      <rgbColor rgb="FF231F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81280</colOff>
      <row>1</row>
      <rowOff>50800</rowOff>
    </from>
    <to>
      <col>2</col>
      <colOff>1595120</colOff>
      <row>7</row>
      <rowOff>40000</rowOff>
    </to>
    <pic>
      <nvPicPr>
        <cNvPr id="5" name="Graphic 4"/>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t="20494" b="28148"/>
        <a:stretch xmlns:a="http://schemas.openxmlformats.org/drawingml/2006/main">
          <a:fillRect/>
        </a:stretch>
      </blipFill>
      <spPr>
        <a:xfrm xmlns:a="http://schemas.openxmlformats.org/drawingml/2006/main">
          <a:off x="243840" y="142240"/>
          <a:ext cx="2661920" cy="13811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RateCard" displayName="RateCard" ref="B4:D34" headerRowCount="1" totalsRowShown="0">
  <autoFilter ref="B4:D34"/>
  <tableColumns count="3">
    <tableColumn id="1" name="Officer Type"/>
    <tableColumn id="2" name="PSIRA Grade"/>
    <tableColumn id="3" name="Sell Price (charged to client, per shift)"/>
  </tableColumns>
  <tableStyleInfo showFirstColumn="0" showLastColumn="0" showRowStripes="1" showColumnStripes="0"/>
</table>
</file>

<file path=xl/tables/table2.xml><?xml version="1.0" encoding="utf-8"?>
<table xmlns="http://schemas.openxmlformats.org/spreadsheetml/2006/main" id="2" name="Builder" displayName="Builder" ref="B4:S154" headerRowCount="1" totalsRowShown="0">
  <autoFilter ref="B4:S154"/>
  <tableColumns count="18">
    <tableColumn id="1" name="Row Type"/>
    <tableColumn id="2" name="Category"/>
    <tableColumn id="3" name="Date"/>
    <tableColumn id="4" name="Shift"/>
    <tableColumn id="5" name="Start"/>
    <tableColumn id="6" name="End"/>
    <tableColumn id="7" name="Qty"/>
    <tableColumn id="8" name="Officer Type"/>
    <tableColumn id="9" name="Description"/>
    <tableColumn id="10" name="Notes / Posting Location"/>
    <tableColumn id="11" name="Unit Price"/>
    <tableColumn id="12" name="Shifts / Units"/>
    <tableColumn id="13" name="Final Description (auto)"/>
    <tableColumn id="14" name="Final Unit Price (auto)"/>
    <tableColumn id="15" name="Final Grade (auto)"/>
    <tableColumn id="16" name="Amount (auto)"/>
    <tableColumn id="17" name="Section Text (auto)"/>
    <tableColumn id="18" name="Effective Section (auto)"/>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FFC72C"/>
    <outlinePr summaryBelow="1" summaryRight="1"/>
    <pageSetUpPr fitToPage="1"/>
  </sheetPr>
  <dimension ref="B1:C44"/>
  <sheetViews>
    <sheetView showGridLines="0" zoomScaleNormal="100" workbookViewId="0">
      <selection activeCell="A1" sqref="A1"/>
    </sheetView>
  </sheetViews>
  <sheetFormatPr baseColWidth="10" defaultColWidth="8.6640625" defaultRowHeight="15"/>
  <cols>
    <col width="2.5" customWidth="1" style="63" min="1" max="1"/>
    <col width="3" customWidth="1" style="63" min="2" max="2"/>
    <col width="95" customWidth="1" style="63" min="3" max="3"/>
    <col width="3" customWidth="1" style="63" min="4" max="4"/>
  </cols>
  <sheetData>
    <row r="1" ht="49.5" customHeight="1" s="63">
      <c r="B1" s="72" t="inlineStr">
        <is>
          <t>IMPI EVENT QUOTATION SYSTEM</t>
        </is>
      </c>
    </row>
    <row r="2" ht="21.75" customHeight="1" s="63">
      <c r="B2" s="73" t="inlineStr">
        <is>
          <t>How this workbook works — read this once before your first quotation</t>
        </is>
      </c>
    </row>
    <row r="4" ht="21.75" customHeight="1" s="63">
      <c r="B4" s="71" t="inlineStr">
        <is>
          <t>THIS IS THE QUOTATION WORKBOOK</t>
        </is>
      </c>
    </row>
    <row r="5" ht="54" customHeight="1" s="63">
      <c r="B5" s="70" t="inlineStr">
        <is>
          <t>This file produces your client-facing Quotation only. Postings and payroll/supplier-pay are handled in the separate ‘IMPI Posting Sheet &amp; Pay Run’ workbook — the two are kept apart on purpose, just like your original two files, so each stays focused and simple.</t>
        </is>
      </c>
    </row>
    <row r="7" ht="21.75" customHeight="1" s="63">
      <c r="B7" s="71" t="inlineStr">
        <is>
          <t>THE 5 TABS, IN THE ORDER YOU USE THEM</t>
        </is>
      </c>
    </row>
    <row r="8" ht="37.5" customHeight="1" s="63">
      <c r="B8" s="70" t="inlineStr">
        <is>
          <t>1.  SETUP — your company details are already filled in. Update the CLIENT, QUOTATION and EVENT blocks for the job you are quoting.</t>
        </is>
      </c>
    </row>
    <row r="9" ht="37.5" customHeight="1" s="63">
      <c r="B9" s="70" t="inlineStr">
        <is>
          <t>2.  RATE CARD — your client-facing price list. Each officer/post type has a Grade and a Sell Price (what you charge the client). Add to this list as needed.</t>
        </is>
      </c>
    </row>
    <row r="10" ht="37.5" customHeight="1" s="63">
      <c r="B10" s="70" t="inlineStr">
        <is>
          <t>3.  BUILDER — this is the only place you type shift dates, times, categories and line items. Everything else is generated from here.</t>
        </is>
      </c>
    </row>
    <row r="11" ht="37.5" customHeight="1" s="63">
      <c r="B11" s="70" t="inlineStr">
        <is>
          <t>4.  QUOTATION — your branded, client-ready quote. It builds itself automatically from Builder + Setup. Nothing to type here.</t>
        </is>
      </c>
    </row>
    <row r="13" ht="21.75" customHeight="1" s="63">
      <c r="B13" s="71" t="inlineStr">
        <is>
          <t>STEP 1 — SETUP TAB</t>
        </is>
      </c>
    </row>
    <row r="14" ht="54" customHeight="1" s="63">
      <c r="B14" s="70" t="inlineStr">
        <is>
          <t>•  Fill in the CLIENT DETAILS, QUOTATION DETAILS and EVENT DETAILS blocks. The Quotation Number, VAT rate and Payment Terms can be edited here at any time — they flow through to the Quotation automatically.</t>
        </is>
      </c>
    </row>
    <row r="16" ht="21.75" customHeight="1" s="63">
      <c r="B16" s="71" t="inlineStr">
        <is>
          <t>STEP 2 — RATE CARD TAB (your price list)</t>
        </is>
      </c>
    </row>
    <row r="17" ht="37.5" customHeight="1" s="63">
      <c r="B17" s="70" t="inlineStr">
        <is>
          <t>•  Add one row per officer/post type — e.g. Event Security Officer, Event Security Supervisor, Reaction Officer, K9 Handler. A few are pre-loaded from your existing rates.</t>
        </is>
      </c>
    </row>
    <row r="18" ht="54" customHeight="1" s="63">
      <c r="B18" s="70" t="inlineStr">
        <is>
          <t>•  SELL PRICE is what you charge the client per shift — this drives the Quotation. (What you pay your supplier/guard is a different number, kept in the separate Posting Sheet &amp; Pay Run workbook.)</t>
        </is>
      </c>
    </row>
    <row r="19" ht="69.75" customHeight="1" s="63">
      <c r="B19" s="70" t="inlineStr">
        <is>
          <t>•  Pale gold cells are placeholders — replace them with your real figures before relying on them. To add a brand new officer type, just type it into the next blank row with its Grade and Sell Price; it will appear in the Builder's Officer Type dropdown automatically.</t>
        </is>
      </c>
    </row>
    <row r="21" ht="21.75" customHeight="1" s="63">
      <c r="B21" s="71" t="inlineStr">
        <is>
          <t>STEP 3 — BUILDER TAB (the engine)</t>
        </is>
      </c>
    </row>
    <row r="22" ht="37.5" customHeight="1" s="63">
      <c r="B22" s="70" t="inlineStr">
        <is>
          <t>•  Each event is built from SECTION HEADER rows and LINE ITEM rows, exactly like your current quotations.</t>
        </is>
      </c>
    </row>
    <row r="23" ht="69.75" customHeight="1" s="63">
      <c r="B23" s="70" t="inlineStr">
        <is>
          <t>•  A SECTION HEADER row needs: Category (Build-Up, Event, Breakdown, Parking, Cleaning, Medics, Fencing, Compliance, etc.), Date, Shift, Start Time and End Time. The full heading sentence (e.g. ‘BUILD-UP: Friday 5 June 2026 - Night Shift (19h00 - 07h00)’) is generated for you — you never type it out.</t>
        </is>
      </c>
    </row>
    <row r="24" ht="85.5" customHeight="1" s="63">
      <c r="B24" s="70" t="inlineStr">
        <is>
          <t>•  For a GUARD/OFFICER line: just set Qty and pick an ‘Officer Type’ from the dropdown (sourced from your Rate Card). PSIRA Grade and Sell Price both fill in automatically — you don't set these yourself. Type where they're posted (e.g. ‘Roaming’, ‘Main Bar Area’, ‘Entrance Shoots’) into Notes / Posting Location and it is added next to the officer type on the Quotation automatically (e.g. ‘Event Security Officer Gr C: Roaming’).</t>
        </is>
      </c>
    </row>
    <row r="25" ht="37.5" customHeight="1" s="63">
      <c r="B25" s="70" t="inlineStr">
        <is>
          <t>•  For a NON-STAFF line (equipment, medics, fencing, compliance fees) — leave Officer Type blank and fill in Description + Unit Price yourself, exactly as before.</t>
        </is>
      </c>
    </row>
    <row r="26" ht="37.5" customHeight="1" s="63">
      <c r="B26" s="70" t="inlineStr">
        <is>
          <t>•  Shifts/Units is how many shifts/days/nights this line covers — the Amount is Qty × Sell Price × Shifts.</t>
        </is>
      </c>
    </row>
    <row r="27" ht="37.5" customHeight="1" s="63">
      <c r="B27" s="70" t="inlineStr">
        <is>
          <t>•  The grey columns from ‘Final Description’ onwards are automatic — please do not type into them.</t>
        </is>
      </c>
    </row>
    <row r="28" ht="54" customHeight="1" s="63">
      <c r="B28" s="70" t="inlineStr">
        <is>
          <t>•  Need more rows than provided? Right-click any row inside the Builder table → Insert → Table Rows Above/Below. The Quotation will pick up the new row automatically as long as it is within the first 50 Builder rows.</t>
        </is>
      </c>
    </row>
    <row r="30" ht="21.75" customHeight="1" s="63">
      <c r="B30" s="71" t="inlineStr">
        <is>
          <t>STEP 4 — QUOTATION TAB</t>
        </is>
      </c>
    </row>
    <row r="31" ht="37.5" customHeight="1" s="63">
      <c r="B31" s="70" t="inlineStr">
        <is>
          <t>•  This tab needs no input — check it over, then File → Save As / Export → PDF to send to your client.</t>
        </is>
      </c>
    </row>
    <row r="32" ht="54" customHeight="1" s="63">
      <c r="B32" s="70" t="inlineStr">
        <is>
          <t>•  If your event uses fewer than 50 lines (most do), there will be blank rows below your last line item and above the Subtotal block. Select those blank rows, right-click → Hide Rows, before printing or exporting to PDF for a clean finish.</t>
        </is>
      </c>
    </row>
    <row r="34" ht="21.75" customHeight="1" s="63">
      <c r="B34" s="71" t="inlineStr">
        <is>
          <t>ONCE THE QUOTE IS ACCEPTED</t>
        </is>
      </c>
    </row>
    <row r="35" ht="69.75" customHeight="1" s="63">
      <c r="B35" s="70" t="inlineStr">
        <is>
          <t>•  Open the separate ‘IMPI Posting Sheet &amp; Pay Run’ workbook and build your roster there — it has its own Officer Type dropdown and Rate Card (this time with Pay Rate, what you pay your supplier/guard), and its Pay Run generates automatically from its Posting Sheet.</t>
        </is>
      </c>
    </row>
    <row r="37" ht="21.75" customHeight="1" s="63">
      <c r="B37" s="71" t="inlineStr">
        <is>
          <t>STARTING A NEW EVENT</t>
        </is>
      </c>
    </row>
    <row r="38" ht="21.75" customHeight="1" s="63">
      <c r="B38" s="70" t="inlineStr">
        <is>
          <t>•  Make a copy of this file first (Save As) so you always keep a clean master template.</t>
        </is>
      </c>
    </row>
    <row r="39" ht="37.5" customHeight="1" s="63">
      <c r="B39" s="70" t="inlineStr">
        <is>
          <t>•  On the Builder tab, clear out the previous event's rows (select the cells and press Delete — do not delete the rows themselves).</t>
        </is>
      </c>
    </row>
    <row r="40" ht="21.75" customHeight="1" s="63">
      <c r="B40" s="70" t="inlineStr">
        <is>
          <t>•  Update the CLIENT, QUOTATION and EVENT blocks on the Setup tab.</t>
        </is>
      </c>
    </row>
    <row r="41" ht="37.5" customHeight="1" s="63">
      <c r="B41" s="70" t="inlineStr">
        <is>
          <t>•  Re-enter your sections and line items on the Builder tab — everything else updates on its own.</t>
        </is>
      </c>
    </row>
    <row r="43" ht="21.75" customHeight="1" s="63">
      <c r="B43" s="71" t="inlineStr">
        <is>
          <t>A NOTE ON FORMULAS</t>
        </is>
      </c>
    </row>
    <row r="44" ht="54" customHeight="1" s="63">
      <c r="B44" s="70" t="inlineStr">
        <is>
          <t>•  This workbook uses standard Excel formulas only (no macros/VBA), so there is nothing to ‘enable’ and it is safe to open on any computer. The Builder tab is protected on the automatic/grey cells only — all white input cells remain fully editable.</t>
        </is>
      </c>
    </row>
  </sheetData>
  <mergeCells count="35">
    <mergeCell ref="B16:C16"/>
    <mergeCell ref="B7:C7"/>
    <mergeCell ref="B25:C25"/>
    <mergeCell ref="B22:C22"/>
    <mergeCell ref="B31:C31"/>
    <mergeCell ref="B27:C27"/>
    <mergeCell ref="B18:C18"/>
    <mergeCell ref="B43:C43"/>
    <mergeCell ref="B39:C39"/>
    <mergeCell ref="B21:C21"/>
    <mergeCell ref="B2:C2"/>
    <mergeCell ref="B11:C11"/>
    <mergeCell ref="B23:C23"/>
    <mergeCell ref="B14:C14"/>
    <mergeCell ref="B17:C17"/>
    <mergeCell ref="B1:C1"/>
    <mergeCell ref="B8:C8"/>
    <mergeCell ref="B13:C13"/>
    <mergeCell ref="B38:C38"/>
    <mergeCell ref="B44:C44"/>
    <mergeCell ref="B19:C19"/>
    <mergeCell ref="B34:C34"/>
    <mergeCell ref="B37:C37"/>
    <mergeCell ref="B10:C10"/>
    <mergeCell ref="B28:C28"/>
    <mergeCell ref="B40:C40"/>
    <mergeCell ref="B9:C9"/>
    <mergeCell ref="B24:C24"/>
    <mergeCell ref="B30:C30"/>
    <mergeCell ref="B5:C5"/>
    <mergeCell ref="B32:C32"/>
    <mergeCell ref="B26:C26"/>
    <mergeCell ref="B41:C41"/>
    <mergeCell ref="B35:C35"/>
    <mergeCell ref="B4:C4"/>
  </mergeCells>
  <pageMargins left="0.4" right="0.4" top="0.5" bottom="0.5" header="0.511811023622047" footer="0.511811023622047"/>
  <pageSetup orientation="portrait" fitToHeight="0" horizontalDpi="300" verticalDpi="300"/>
</worksheet>
</file>

<file path=xl/worksheets/sheet2.xml><?xml version="1.0" encoding="utf-8"?>
<worksheet xmlns="http://schemas.openxmlformats.org/spreadsheetml/2006/main">
  <sheetPr>
    <tabColor rgb="FF231F20"/>
    <outlinePr summaryBelow="1" summaryRight="1"/>
    <pageSetUpPr fitToPage="1"/>
  </sheetPr>
  <dimension ref="B1:F47"/>
  <sheetViews>
    <sheetView showGridLines="0" zoomScaleNormal="100" workbookViewId="0">
      <pane xSplit="1" ySplit="2" topLeftCell="B18" activePane="bottomRight" state="frozen"/>
      <selection pane="topRight" activeCell="B1" sqref="B1"/>
      <selection pane="bottomLeft" activeCell="A3" sqref="A3"/>
      <selection pane="bottomRight" activeCell="C49" sqref="C49"/>
    </sheetView>
  </sheetViews>
  <sheetFormatPr baseColWidth="10" defaultColWidth="8.6640625" defaultRowHeight="15"/>
  <cols>
    <col width="2.5" customWidth="1" style="63" min="1" max="1"/>
    <col width="32" customWidth="1" style="63" min="2" max="2"/>
    <col width="40" customWidth="1" style="63" min="3" max="3"/>
    <col width="4" customWidth="1" style="63" min="4" max="4"/>
    <col width="26" customWidth="1" style="63" min="5" max="5"/>
    <col width="40" customWidth="1" style="63" min="6" max="6"/>
    <col width="2.5" customWidth="1" style="63" min="7" max="7"/>
  </cols>
  <sheetData>
    <row r="1" ht="42" customHeight="1" s="63">
      <c r="B1" s="76" t="inlineStr">
        <is>
          <t>SETUP  —  Company, Client, Quotation &amp; Event Details</t>
        </is>
      </c>
    </row>
    <row r="3" ht="19.5" customHeight="1" s="63">
      <c r="B3" s="74" t="inlineStr">
        <is>
          <t>COMPANY DETAILS  (fixed — IMPI RMS)</t>
        </is>
      </c>
    </row>
    <row r="4" ht="18" customHeight="1" s="63">
      <c r="B4" s="1" t="inlineStr">
        <is>
          <t>Company Name</t>
        </is>
      </c>
      <c r="C4" s="2" t="inlineStr">
        <is>
          <t>IMPI RMS (Pty) Ltd</t>
        </is>
      </c>
    </row>
    <row r="5" ht="18" customHeight="1" s="63">
      <c r="B5" s="1" t="inlineStr">
        <is>
          <t>Trading As</t>
        </is>
      </c>
      <c r="C5" s="2" t="n"/>
    </row>
    <row r="6" ht="18" customHeight="1" s="63">
      <c r="B6" s="1" t="inlineStr">
        <is>
          <t>Registration No.</t>
        </is>
      </c>
      <c r="C6" s="2" t="inlineStr">
        <is>
          <t>2017/099360/07</t>
        </is>
      </c>
    </row>
    <row r="7" ht="18" customHeight="1" s="63">
      <c r="B7" s="1" t="inlineStr">
        <is>
          <t>VAT Number</t>
        </is>
      </c>
      <c r="C7" s="2" t="inlineStr">
        <is>
          <t>4120277498</t>
        </is>
      </c>
    </row>
    <row r="8" ht="18" customHeight="1" s="63">
      <c r="B8" s="1" t="inlineStr">
        <is>
          <t>Address</t>
        </is>
      </c>
      <c r="C8" s="2" t="inlineStr">
        <is>
          <t>10 Kosmos Crescent, Rynoue AH</t>
        </is>
      </c>
    </row>
    <row r="9" ht="18" customHeight="1" s="63">
      <c r="B9" s="1" t="n"/>
      <c r="C9" s="2" t="inlineStr">
        <is>
          <t>Roodeplaat, Pretoria, 0039</t>
        </is>
      </c>
    </row>
    <row r="10" ht="18" customHeight="1" s="63">
      <c r="B10" s="1" t="inlineStr">
        <is>
          <t>Phone</t>
        </is>
      </c>
      <c r="C10" s="2" t="inlineStr">
        <is>
          <t>012 543 0640</t>
        </is>
      </c>
    </row>
    <row r="11" ht="18" customHeight="1" s="63">
      <c r="B11" s="1" t="inlineStr">
        <is>
          <t>Mobile (Shane Steynfaardt)</t>
        </is>
      </c>
      <c r="C11" s="2" t="inlineStr">
        <is>
          <t>083 782 2207</t>
        </is>
      </c>
    </row>
    <row r="12" ht="18" customHeight="1" s="63">
      <c r="B12" s="1" t="inlineStr">
        <is>
          <t>Email</t>
        </is>
      </c>
      <c r="C12" s="2" t="inlineStr">
        <is>
          <t>info@impi-secure.co.za</t>
        </is>
      </c>
    </row>
    <row r="13" ht="18" customHeight="1" s="63">
      <c r="B13" s="1" t="inlineStr">
        <is>
          <t>Website</t>
        </is>
      </c>
      <c r="C13" s="2" t="inlineStr">
        <is>
          <t>www.impi-secure.co.za</t>
        </is>
      </c>
    </row>
    <row r="14" ht="18" customHeight="1" s="63">
      <c r="B14" s="1" t="inlineStr">
        <is>
          <t>Bank</t>
        </is>
      </c>
      <c r="C14" s="2" t="inlineStr">
        <is>
          <t>Standard Bank</t>
        </is>
      </c>
    </row>
    <row r="15" ht="18" customHeight="1" s="63">
      <c r="B15" s="1" t="inlineStr">
        <is>
          <t>Account Number</t>
        </is>
      </c>
      <c r="C15" s="2" t="inlineStr">
        <is>
          <t>011059486</t>
        </is>
      </c>
    </row>
    <row r="16" ht="18" customHeight="1" s="63">
      <c r="B16" s="1" t="inlineStr">
        <is>
          <t>Branch Code</t>
        </is>
      </c>
      <c r="C16" s="2" t="inlineStr">
        <is>
          <t>010145</t>
        </is>
      </c>
    </row>
    <row r="18" ht="19.5" customHeight="1" s="63">
      <c r="B18" s="74" t="inlineStr">
        <is>
          <t>CLIENT DETAILS  (update for each new quotation)</t>
        </is>
      </c>
    </row>
    <row r="19" ht="18" customHeight="1" s="63">
      <c r="B19" s="1" t="inlineStr">
        <is>
          <t>Client / Company Name</t>
        </is>
      </c>
      <c r="C19" s="3" t="n"/>
    </row>
    <row r="20" ht="18" customHeight="1" s="63">
      <c r="B20" s="1" t="inlineStr">
        <is>
          <t>Contact Person</t>
        </is>
      </c>
      <c r="C20" s="2" t="n"/>
    </row>
    <row r="21" ht="18" customHeight="1" s="63">
      <c r="B21" s="1" t="inlineStr">
        <is>
          <t>Client Email</t>
        </is>
      </c>
      <c r="C21" s="2" t="n"/>
    </row>
    <row r="22" ht="18" customHeight="1" s="63">
      <c r="B22" s="1" t="inlineStr">
        <is>
          <t>Client Phone</t>
        </is>
      </c>
      <c r="C22" s="2" t="n"/>
    </row>
    <row r="23" ht="18" customHeight="1" s="63">
      <c r="B23" s="1" t="inlineStr">
        <is>
          <t>Client VAT Number (optional)</t>
        </is>
      </c>
      <c r="C23" s="2" t="n"/>
    </row>
    <row r="24" ht="18" customHeight="1" s="63">
      <c r="B24" s="1" t="inlineStr">
        <is>
          <t>Client Registration No. (optional)</t>
        </is>
      </c>
      <c r="C24" s="2" t="n"/>
    </row>
    <row r="26" ht="19.5" customHeight="1" s="63">
      <c r="B26" s="74" t="inlineStr">
        <is>
          <t>QUOTATION DETAILS</t>
        </is>
      </c>
    </row>
    <row r="27" ht="18" customHeight="1" s="63">
      <c r="B27" s="1" t="inlineStr">
        <is>
          <t>Quotation Number</t>
        </is>
      </c>
      <c r="C27" s="3" t="n"/>
    </row>
    <row r="28" ht="18" customHeight="1" s="63">
      <c r="B28" s="1" t="inlineStr">
        <is>
          <t>Quotation Date</t>
        </is>
      </c>
      <c r="C28" s="4">
        <f>TODAY()</f>
        <v/>
      </c>
    </row>
    <row r="29" ht="18" customHeight="1" s="63">
      <c r="B29" s="1" t="inlineStr">
        <is>
          <t>Valid Until</t>
        </is>
      </c>
      <c r="C29" s="4">
        <f>C28+30</f>
        <v/>
      </c>
    </row>
    <row r="30" ht="18" customHeight="1" s="63">
      <c r="B30" s="1" t="inlineStr">
        <is>
          <t>Reference Number / Event Name</t>
        </is>
      </c>
      <c r="C30" s="2" t="n"/>
    </row>
    <row r="31" ht="18" customHeight="1" s="63">
      <c r="B31" s="1" t="inlineStr">
        <is>
          <t>Prepared By</t>
        </is>
      </c>
      <c r="C31" s="2" t="inlineStr">
        <is>
          <t>Shane Steynfaardt</t>
        </is>
      </c>
    </row>
    <row r="32" ht="18" customHeight="1" s="63">
      <c r="B32" s="1" t="inlineStr">
        <is>
          <t>Sales Person (initials)</t>
        </is>
      </c>
      <c r="C32" s="2" t="inlineStr">
        <is>
          <t>Jaco Van Dyk</t>
        </is>
      </c>
    </row>
    <row r="33" ht="18" customHeight="1" s="63">
      <c r="B33" s="1" t="inlineStr">
        <is>
          <t>VAT Rate</t>
        </is>
      </c>
      <c r="C33" s="5" t="n">
        <v>0.15</v>
      </c>
    </row>
    <row r="35" ht="19.5" customHeight="1" s="63">
      <c r="B35" s="74" t="inlineStr">
        <is>
          <t>EVENT DETAILS</t>
        </is>
      </c>
    </row>
    <row r="36" ht="18" customHeight="1" s="63">
      <c r="B36" s="1" t="inlineStr">
        <is>
          <t>Venue</t>
        </is>
      </c>
      <c r="C36" s="2" t="n"/>
    </row>
    <row r="37" ht="18" customHeight="1" s="63">
      <c r="B37" s="1" t="inlineStr">
        <is>
          <t>Event Date (overview)</t>
        </is>
      </c>
      <c r="C37" s="52" t="n"/>
    </row>
    <row r="38" ht="18" customHeight="1" s="63">
      <c r="B38" s="1" t="inlineStr">
        <is>
          <t>PO Number</t>
        </is>
      </c>
      <c r="C38" s="2" t="n"/>
    </row>
    <row r="39" ht="18" customHeight="1" s="63">
      <c r="B39" s="1" t="inlineStr">
        <is>
          <t>Timing (overview)</t>
        </is>
      </c>
      <c r="C39" s="2" t="n"/>
    </row>
    <row r="41" ht="19.5" customHeight="1" s="63">
      <c r="B41" s="74" t="inlineStr">
        <is>
          <t>PAYMENT TERMS &amp; CONDITIONS  (printed on every quotation — editable)</t>
        </is>
      </c>
    </row>
    <row r="42" ht="15" customHeight="1" s="63">
      <c r="B42" s="75" t="inlineStr">
        <is>
          <t>•  A minimum deposit of 50% is required no later than fourteen (14) days prior to the event date in order to confirm and secure the provision of services.
•  The outstanding balance shall be settled within five (5) days after the event date.
•  Should payment not be received within the stipulated five (5) day period, a 5% administrative fee will be applied. An additional 5% administrative fee will be levied at the end of each subsequent month for as long as the account remains outstanding.</t>
        </is>
      </c>
      <c r="C42" s="82" t="n"/>
      <c r="D42" s="82" t="n"/>
      <c r="E42" s="82" t="n"/>
      <c r="F42" s="83" t="n"/>
    </row>
    <row r="43">
      <c r="B43" s="84" t="n"/>
      <c r="F43" s="85" t="n"/>
    </row>
    <row r="44">
      <c r="B44" s="84" t="n"/>
      <c r="F44" s="85" t="n"/>
    </row>
    <row r="45">
      <c r="B45" s="84" t="n"/>
      <c r="F45" s="85" t="n"/>
    </row>
    <row r="46">
      <c r="B46" s="84" t="n"/>
      <c r="F46" s="85" t="n"/>
    </row>
    <row r="47">
      <c r="B47" s="86" t="n"/>
      <c r="C47" s="87" t="n"/>
      <c r="D47" s="87" t="n"/>
      <c r="E47" s="87" t="n"/>
      <c r="F47" s="88" t="n"/>
    </row>
  </sheetData>
  <mergeCells count="7">
    <mergeCell ref="B42:F47"/>
    <mergeCell ref="B41:F41"/>
    <mergeCell ref="B3:F3"/>
    <mergeCell ref="B1:F1"/>
    <mergeCell ref="B26:F26"/>
    <mergeCell ref="B18:F18"/>
    <mergeCell ref="B35:F35"/>
  </mergeCells>
  <pageMargins left="0.4" right="0.4" top="0.5" bottom="0.5" header="0.511811023622047" footer="0.511811023622047"/>
  <pageSetup orientation="portrait" fitToHeight="0" horizontalDpi="300" verticalDpi="300"/>
</worksheet>
</file>

<file path=xl/worksheets/sheet3.xml><?xml version="1.0" encoding="utf-8"?>
<worksheet xmlns="http://schemas.openxmlformats.org/spreadsheetml/2006/main">
  <sheetPr>
    <tabColor rgb="FFFFC72C"/>
    <outlinePr summaryBelow="1" summaryRight="1"/>
    <pageSetUpPr fitToPage="1"/>
  </sheetPr>
  <dimension ref="B1:D36"/>
  <sheetViews>
    <sheetView showGridLines="0" zoomScaleNormal="100" workbookViewId="0">
      <pane xSplit="1" ySplit="4" topLeftCell="B5" activePane="bottomRight" state="frozen"/>
      <selection pane="topRight" activeCell="B1" sqref="B1"/>
      <selection pane="bottomLeft" activeCell="A5" sqref="A5"/>
      <selection pane="bottomRight" activeCell="C16" sqref="C16"/>
    </sheetView>
  </sheetViews>
  <sheetFormatPr baseColWidth="10" defaultColWidth="8.6640625" defaultRowHeight="15"/>
  <cols>
    <col width="2.5" customWidth="1" style="63" min="1" max="1"/>
    <col width="34" customWidth="1" style="63" min="2" max="2"/>
    <col width="13" customWidth="1" style="63" min="3" max="3"/>
    <col width="26" customWidth="1" style="63" min="4" max="4"/>
    <col width="2.5" customWidth="1" style="63" min="5" max="5"/>
  </cols>
  <sheetData>
    <row r="1" ht="36" customHeight="1" s="63">
      <c r="B1" s="77" t="inlineStr">
        <is>
          <t>RATE CARD  —  Officer Types, Grades &amp; Selling Prices</t>
        </is>
      </c>
    </row>
    <row r="2" ht="43.5" customHeight="1" s="63">
      <c r="B2" s="78" t="inlineStr">
        <is>
          <t>This is your client-facing price list. Add a row per officer/post type. The Builder tab's ‘Officer Type’ dropdown pulls its list from this table, and the Grade and Sell Price fill in automatically once an Officer Type is chosen there. (Pay rates for your supplier/guards live in the separate Posting Sheet &amp; Pay Run workbook.)</t>
        </is>
      </c>
    </row>
    <row r="4" ht="31.5" customHeight="1" s="63">
      <c r="B4" s="6" t="inlineStr">
        <is>
          <t>Officer Type</t>
        </is>
      </c>
      <c r="C4" s="6" t="inlineStr">
        <is>
          <t>PSIRA Grade</t>
        </is>
      </c>
      <c r="D4" s="6" t="inlineStr">
        <is>
          <t>Sell Price (charged to client, per shift)</t>
        </is>
      </c>
    </row>
    <row r="5" ht="18" customHeight="1" s="63">
      <c r="B5" s="7" t="inlineStr">
        <is>
          <t>Event Security Supervisor</t>
        </is>
      </c>
      <c r="C5" s="8" t="inlineStr">
        <is>
          <t>Gr B</t>
        </is>
      </c>
      <c r="D5" s="9" t="n">
        <v>1080</v>
      </c>
    </row>
    <row r="6" ht="18" customHeight="1" s="63">
      <c r="B6" s="7" t="inlineStr">
        <is>
          <t>Event Security Officer</t>
        </is>
      </c>
      <c r="C6" s="8" t="inlineStr">
        <is>
          <t>Gr C</t>
        </is>
      </c>
      <c r="D6" s="9" t="n">
        <v>870</v>
      </c>
    </row>
    <row r="7" ht="18" customHeight="1" s="63">
      <c r="B7" s="30" t="inlineStr">
        <is>
          <t>Event Reaction Officer</t>
        </is>
      </c>
      <c r="C7" s="8" t="inlineStr">
        <is>
          <t>Gr C</t>
        </is>
      </c>
      <c r="D7" s="10" t="n">
        <v>1350</v>
      </c>
    </row>
    <row r="8" ht="18" customHeight="1" s="63">
      <c r="B8" s="7" t="inlineStr">
        <is>
          <t>Event Safety Officer</t>
        </is>
      </c>
      <c r="C8" s="8" t="inlineStr">
        <is>
          <t>N/A</t>
        </is>
      </c>
      <c r="D8" s="9" t="n">
        <v>2150</v>
      </c>
    </row>
    <row r="9" ht="18" customHeight="1" s="63">
      <c r="B9" s="30" t="inlineStr">
        <is>
          <t>Event Security Supervisor - 14 Hrs</t>
        </is>
      </c>
      <c r="C9" s="8" t="inlineStr">
        <is>
          <t>Gr B</t>
        </is>
      </c>
      <c r="D9" s="9" t="n">
        <v>1260</v>
      </c>
    </row>
    <row r="10" ht="18" customHeight="1" s="63">
      <c r="B10" s="30" t="inlineStr">
        <is>
          <t>Event Security Officer - 14 Hrs</t>
        </is>
      </c>
      <c r="C10" s="8" t="inlineStr">
        <is>
          <t>Gr C</t>
        </is>
      </c>
      <c r="D10" s="9" t="n">
        <v>1015</v>
      </c>
    </row>
    <row r="11" ht="18" customHeight="1" s="63">
      <c r="B11" s="30" t="inlineStr">
        <is>
          <t>Event Reaction Officer - Men in Black</t>
        </is>
      </c>
      <c r="C11" s="8" t="inlineStr">
        <is>
          <t>Gr A</t>
        </is>
      </c>
      <c r="D11" s="9" t="n">
        <v>1450</v>
      </c>
    </row>
    <row r="12" ht="18" customHeight="1" s="63">
      <c r="B12" s="30" t="inlineStr">
        <is>
          <t>Event Security Manager</t>
        </is>
      </c>
      <c r="C12" s="8" t="inlineStr">
        <is>
          <t>Gr A</t>
        </is>
      </c>
      <c r="D12" s="9" t="n">
        <v>1550</v>
      </c>
    </row>
    <row r="13" ht="18" customHeight="1" s="63">
      <c r="B13" s="7" t="inlineStr">
        <is>
          <t>Event Cleaner Supervisor</t>
        </is>
      </c>
      <c r="C13" s="8" t="inlineStr">
        <is>
          <t>N/A</t>
        </is>
      </c>
      <c r="D13" s="9" t="n">
        <v>1080</v>
      </c>
    </row>
    <row r="14" ht="18" customHeight="1" s="63">
      <c r="B14" s="7" t="inlineStr">
        <is>
          <t>Event Cleaner</t>
        </is>
      </c>
      <c r="C14" s="8" t="inlineStr">
        <is>
          <t>N/A</t>
        </is>
      </c>
      <c r="D14" s="9" t="n">
        <v>870</v>
      </c>
    </row>
    <row r="15" ht="18" customHeight="1" s="63">
      <c r="B15" s="7" t="n"/>
      <c r="C15" s="8" t="n"/>
      <c r="D15" s="9" t="n"/>
    </row>
    <row r="16" ht="18" customHeight="1" s="63">
      <c r="B16" s="7" t="n"/>
      <c r="C16" s="8" t="n"/>
      <c r="D16" s="9" t="n"/>
    </row>
    <row r="17" ht="18" customHeight="1" s="63">
      <c r="B17" s="7" t="n"/>
      <c r="C17" s="8" t="n"/>
      <c r="D17" s="9" t="n"/>
    </row>
    <row r="18" ht="18" customHeight="1" s="63">
      <c r="B18" s="7" t="n"/>
      <c r="C18" s="8" t="n"/>
      <c r="D18" s="9" t="n"/>
    </row>
    <row r="19" ht="18" customHeight="1" s="63">
      <c r="B19" s="7" t="n"/>
      <c r="C19" s="8" t="n"/>
      <c r="D19" s="9" t="n"/>
    </row>
    <row r="20" ht="18" customHeight="1" s="63">
      <c r="B20" s="7" t="n"/>
      <c r="C20" s="8" t="n"/>
      <c r="D20" s="9" t="n"/>
    </row>
    <row r="21" ht="18" customHeight="1" s="63">
      <c r="B21" s="7" t="n"/>
      <c r="C21" s="8" t="n"/>
      <c r="D21" s="9" t="n"/>
    </row>
    <row r="22" ht="18" customHeight="1" s="63">
      <c r="B22" s="7" t="n"/>
      <c r="C22" s="8" t="n"/>
      <c r="D22" s="9" t="n"/>
    </row>
    <row r="23" ht="18" customHeight="1" s="63">
      <c r="B23" s="7" t="n"/>
      <c r="C23" s="8" t="n"/>
      <c r="D23" s="9" t="n"/>
    </row>
    <row r="24" ht="18" customHeight="1" s="63">
      <c r="B24" s="7" t="n"/>
      <c r="C24" s="8" t="n"/>
      <c r="D24" s="9" t="n"/>
    </row>
    <row r="25" ht="18" customHeight="1" s="63">
      <c r="B25" s="7" t="n"/>
      <c r="C25" s="8" t="n"/>
      <c r="D25" s="9" t="n"/>
    </row>
    <row r="26" ht="18" customHeight="1" s="63">
      <c r="B26" s="7" t="n"/>
      <c r="C26" s="8" t="n"/>
      <c r="D26" s="9" t="n"/>
    </row>
    <row r="27" ht="18" customHeight="1" s="63">
      <c r="B27" s="7" t="n"/>
      <c r="C27" s="8" t="n"/>
      <c r="D27" s="9" t="n"/>
    </row>
    <row r="28" ht="18" customHeight="1" s="63">
      <c r="B28" s="7" t="n"/>
      <c r="C28" s="8" t="n"/>
      <c r="D28" s="9" t="n"/>
    </row>
    <row r="29" ht="18" customHeight="1" s="63">
      <c r="B29" s="7" t="n"/>
      <c r="C29" s="8" t="n"/>
      <c r="D29" s="9" t="n"/>
    </row>
    <row r="30" ht="18" customHeight="1" s="63">
      <c r="B30" s="7" t="n"/>
      <c r="C30" s="8" t="n"/>
      <c r="D30" s="9" t="n"/>
    </row>
    <row r="31" ht="18" customHeight="1" s="63">
      <c r="B31" s="7" t="n"/>
      <c r="C31" s="8" t="n"/>
      <c r="D31" s="9" t="n"/>
    </row>
    <row r="32" ht="18" customHeight="1" s="63">
      <c r="B32" s="7" t="n"/>
      <c r="C32" s="8" t="n"/>
      <c r="D32" s="9" t="n"/>
    </row>
    <row r="33" ht="18" customHeight="1" s="63">
      <c r="B33" s="7" t="n"/>
      <c r="C33" s="8" t="n"/>
      <c r="D33" s="9" t="n"/>
    </row>
    <row r="34" ht="18" customHeight="1" s="63">
      <c r="B34" s="7" t="n"/>
      <c r="C34" s="8" t="n"/>
      <c r="D34" s="9" t="n"/>
    </row>
    <row r="36" ht="15.75" customHeight="1" s="63">
      <c r="B36" s="79" t="inlineStr">
        <is>
          <t>Pale gold cells above are placeholders — enter your real Sell Price before relying on them.</t>
        </is>
      </c>
    </row>
  </sheetData>
  <mergeCells count="3">
    <mergeCell ref="B1:D1"/>
    <mergeCell ref="B36:D36"/>
    <mergeCell ref="B2:D2"/>
  </mergeCells>
  <dataValidations count="1">
    <dataValidation sqref="C5:C34" showDropDown="0" showInputMessage="0" showErrorMessage="0" allowBlank="1" promptTitle="PSIRA Grade" prompt="Choose the PSIRA grade for this officer type (or N/A if not applicable)." type="list">
      <formula1>"Gr A,Gr B,Gr C,Gr D,Gr E,N/A"</formula1>
      <formula2>0</formula2>
    </dataValidation>
  </dataValidations>
  <pageMargins left="0.4" right="0.4" top="0.5" bottom="0.5" header="0.511811023622047" footer="0.511811023622047"/>
  <pageSetup orientation="portrait" fitToHeight="0" horizontalDpi="300" verticalDpi="30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S154"/>
  <sheetViews>
    <sheetView showGridLines="0" zoomScale="75" zoomScaleNormal="95" workbookViewId="0">
      <pane xSplit="1" ySplit="4" topLeftCell="D35" activePane="bottomRight" state="frozen"/>
      <selection pane="topRight" activeCell="B1" sqref="B1"/>
      <selection pane="bottomLeft" activeCell="A5" sqref="A5"/>
      <selection pane="bottomRight" activeCell="L50" sqref="L50"/>
    </sheetView>
  </sheetViews>
  <sheetFormatPr baseColWidth="10" defaultColWidth="8.6640625" defaultRowHeight="15"/>
  <cols>
    <col width="2.5" customWidth="1" style="63" min="1" max="1"/>
    <col width="20" customWidth="1" style="63" min="2" max="2"/>
    <col width="24" customWidth="1" style="63" min="3" max="3"/>
    <col width="12" customWidth="1" style="63" min="4" max="5"/>
    <col width="9" customWidth="1" style="63" min="6" max="7"/>
    <col width="7" customWidth="1" style="63" min="8" max="8"/>
    <col width="28" customWidth="1" style="63" min="9" max="9"/>
    <col width="30" customWidth="1" style="63" min="10" max="10"/>
    <col width="22" customWidth="1" style="63" min="11" max="11"/>
    <col width="11" customWidth="1" style="63" min="12" max="13"/>
    <col width="34" customWidth="1" style="63" min="14" max="14"/>
    <col width="12" customWidth="1" style="63" min="15" max="15"/>
    <col width="11" customWidth="1" style="63" min="16" max="16"/>
    <col width="12" customWidth="1" style="63" min="17" max="17"/>
    <col width="48" customWidth="1" style="63" min="18" max="18"/>
    <col width="68.33203125" bestFit="1" customWidth="1" style="63" min="19" max="19"/>
    <col width="2.5" customWidth="1" style="63" min="20" max="20"/>
  </cols>
  <sheetData>
    <row r="1" ht="42" customHeight="1" s="63">
      <c r="B1" s="76" t="inlineStr">
        <is>
          <t>BUILDER  —  type your shift sections and line items here</t>
        </is>
      </c>
      <c r="N1" s="80" t="inlineStr">
        <is>
          <t>SYSTEM — do not edit</t>
        </is>
      </c>
    </row>
    <row r="2" ht="43.5" customHeight="1" s="63">
      <c r="B2" s="78" t="inlineStr">
        <is>
          <t>Add a SECTION HEADER row (Category + Date + Shift) then add LINE ITEM rows underneath it. For guard/officer lines, pick an ‘Officer Type’ from the dropdown — PSIRA Grade and Sell Price fill in automatically from the Rate Card. Type where they're posted (e.g. ‘Roaming’, ‘Main Bar Area’) into Notes and it will be added to their description on the Quotation. For non-staff lines (equipment, medics, fencing, compliance), leave Officer Type blank and fill in Description + Unit Price yourself as before. (Postings/payroll are handled in the separate Posting Sheet &amp; Pay Run workbook — not here.)</t>
        </is>
      </c>
      <c r="N2" s="81" t="inlineStr">
        <is>
          <t>Auto-calculated columns — formulas, please leave untouched</t>
        </is>
      </c>
    </row>
    <row r="3"/>
    <row r="4" ht="31.5" customHeight="1" s="63">
      <c r="B4" s="59" t="inlineStr">
        <is>
          <t>Row Type</t>
        </is>
      </c>
      <c r="C4" s="59" t="inlineStr">
        <is>
          <t>Category</t>
        </is>
      </c>
      <c r="D4" s="59" t="inlineStr">
        <is>
          <t>Date</t>
        </is>
      </c>
      <c r="E4" s="59" t="inlineStr">
        <is>
          <t>Shift</t>
        </is>
      </c>
      <c r="F4" s="59" t="inlineStr">
        <is>
          <t>Start</t>
        </is>
      </c>
      <c r="G4" s="59" t="inlineStr">
        <is>
          <t>End</t>
        </is>
      </c>
      <c r="H4" s="59" t="inlineStr">
        <is>
          <t>Qty</t>
        </is>
      </c>
      <c r="I4" s="59" t="inlineStr">
        <is>
          <t>Officer Type</t>
        </is>
      </c>
      <c r="J4" s="59" t="inlineStr">
        <is>
          <t>Description</t>
        </is>
      </c>
      <c r="K4" s="59" t="inlineStr">
        <is>
          <t>Notes / Posting Location</t>
        </is>
      </c>
      <c r="L4" s="59" t="inlineStr">
        <is>
          <t>Unit Price</t>
        </is>
      </c>
      <c r="M4" s="59" t="inlineStr">
        <is>
          <t>Shifts / Units</t>
        </is>
      </c>
      <c r="N4" s="12" t="inlineStr">
        <is>
          <t>Final Description (auto)</t>
        </is>
      </c>
      <c r="O4" s="12" t="inlineStr">
        <is>
          <t>Final Unit Price (auto)</t>
        </is>
      </c>
      <c r="P4" s="12" t="inlineStr">
        <is>
          <t>Final Grade (auto)</t>
        </is>
      </c>
      <c r="Q4" s="12" t="inlineStr">
        <is>
          <t>Amount (auto)</t>
        </is>
      </c>
      <c r="R4" s="12" t="inlineStr">
        <is>
          <t>Section Text (auto)</t>
        </is>
      </c>
      <c r="S4" s="12" t="inlineStr">
        <is>
          <t>Effective Section (auto)</t>
        </is>
      </c>
    </row>
    <row r="5" ht="25.5" customHeight="1" s="63">
      <c r="B5" s="13" t="n"/>
      <c r="C5" s="13" t="n"/>
      <c r="D5" s="14" t="n"/>
      <c r="E5" s="15" t="n"/>
      <c r="F5" s="16" t="n"/>
      <c r="G5" s="16" t="n"/>
      <c r="H5" s="15" t="n"/>
      <c r="I5" s="17" t="n"/>
      <c r="J5" s="18" t="n"/>
      <c r="K5" s="18" t="n"/>
      <c r="L5" s="19" t="n"/>
      <c r="M5" s="15" t="n"/>
      <c r="N5" s="20">
        <f>IF($I5&lt;&gt;"",$I5&amp;IF(OR($P5="N/A",$P5=""),""," "&amp;$P5)&amp;IF(T($K5)&lt;&gt;"",": "&amp;$K5,""),T($J5))</f>
        <v/>
      </c>
      <c r="O5" s="21">
        <f>IF($I5&lt;&gt;"",IFERROR(INDEX(RateCard[Sell Price (charged to client, per shift)],MATCH($I5,RateCard[Officer Type],0)),0),N($L5))</f>
        <v/>
      </c>
      <c r="P5" s="22">
        <f>IF($I5&lt;&gt;"",IFERROR(INDEX(RateCard[PSIRA Grade],MATCH($I5,RateCard[Officer Type],0)),"N/A"),"N/A")</f>
        <v/>
      </c>
      <c r="Q5" s="21">
        <f>IF($B5="LINE ITEM",N($H5)*N($O5)*N($M5),"")</f>
        <v/>
      </c>
      <c r="R5" s="20">
        <f>IF($B5="SECTION HEADER",$C5&amp;": "&amp;TEXT($D5,"dddd d mmmm yyyy")&amp;" - "&amp;$E5&amp;" ("&amp;TEXT($F5,"hh""h""mm")&amp;" - "&amp;TEXT($G5,"hh""h""mm")&amp;")","")</f>
        <v/>
      </c>
      <c r="S5" s="20">
        <f>IF($B5="SECTION HEADER",$R5,"")</f>
        <v/>
      </c>
    </row>
    <row r="6" ht="25.5" customHeight="1" s="63">
      <c r="B6" s="13" t="n"/>
      <c r="C6" s="13" t="n"/>
      <c r="D6" s="14" t="n"/>
      <c r="E6" s="15" t="n"/>
      <c r="F6" s="16" t="n"/>
      <c r="G6" s="16" t="n"/>
      <c r="H6" s="15" t="n"/>
      <c r="I6" s="17" t="n"/>
      <c r="J6" s="18" t="n"/>
      <c r="K6" s="18" t="n"/>
      <c r="L6" s="19" t="n"/>
      <c r="M6" s="15" t="n"/>
      <c r="N6" s="20">
        <f>IF($I6&lt;&gt;"",$I6&amp;IF(OR($P6="N/A",$P6=""),""," "&amp;$P6)&amp;IF(T($K6)&lt;&gt;"",": "&amp;$K6,""),T($J6))</f>
        <v/>
      </c>
      <c r="O6" s="21">
        <f>IF($I6&lt;&gt;"",IFERROR(INDEX(RateCard[Sell Price (charged to client, per shift)],MATCH($I6,RateCard[Officer Type],0)),0),N($L6))</f>
        <v/>
      </c>
      <c r="P6" s="22">
        <f>IF($I6&lt;&gt;"",IFERROR(INDEX(RateCard[PSIRA Grade],MATCH($I6,RateCard[Officer Type],0)),"N/A"),"N/A")</f>
        <v/>
      </c>
      <c r="Q6" s="21">
        <f>IF($B6="LINE ITEM",N($H6)*N($O6)*N($M6),"")</f>
        <v/>
      </c>
      <c r="R6" s="20">
        <f>IF($B6="SECTION HEADER",$C6&amp;": "&amp;TEXT($D6,"dddd d mmmm yyyy")&amp;" - "&amp;$E6&amp;" ("&amp;TEXT($F6,"hh""h""mm")&amp;" - "&amp;TEXT($G6,"hh""h""mm")&amp;")","")</f>
        <v/>
      </c>
      <c r="S6" s="20">
        <f>IF($B6="SECTION HEADER",$R6,S5)</f>
        <v/>
      </c>
    </row>
    <row r="7" ht="25.5" customHeight="1" s="63">
      <c r="B7" s="13" t="n"/>
      <c r="C7" s="13" t="n"/>
      <c r="D7" s="14" t="n"/>
      <c r="E7" s="15" t="n"/>
      <c r="F7" s="16" t="n"/>
      <c r="G7" s="16" t="n"/>
      <c r="H7" s="15" t="n"/>
      <c r="I7" s="17" t="n"/>
      <c r="J7" s="18" t="n"/>
      <c r="K7" s="18" t="n"/>
      <c r="L7" s="19" t="n"/>
      <c r="M7" s="15" t="n"/>
      <c r="N7" s="20">
        <f>IF($I7&lt;&gt;"",$I7&amp;IF(OR($P7="N/A",$P7=""),""," "&amp;$P7)&amp;IF(T($K7)&lt;&gt;"",": "&amp;$K7,""),T($J7))</f>
        <v/>
      </c>
      <c r="O7" s="21">
        <f>IF($I7&lt;&gt;"",IFERROR(INDEX(RateCard[Sell Price (charged to client, per shift)],MATCH($I7,RateCard[Officer Type],0)),0),N($L7))</f>
        <v/>
      </c>
      <c r="P7" s="22">
        <f>IF($I7&lt;&gt;"",IFERROR(INDEX(RateCard[PSIRA Grade],MATCH($I7,RateCard[Officer Type],0)),"N/A"),"N/A")</f>
        <v/>
      </c>
      <c r="Q7" s="21">
        <f>IF($B7="LINE ITEM",N($H7)*N($O7)*N($M7),"")</f>
        <v/>
      </c>
      <c r="R7" s="20">
        <f>IF($B7="SECTION HEADER",$C7&amp;": "&amp;TEXT($D7,"dddd d mmmm yyyy")&amp;" - "&amp;$E7&amp;" ("&amp;TEXT($F7,"hh""h""mm")&amp;" - "&amp;TEXT($G7,"hh""h""mm")&amp;")","")</f>
        <v/>
      </c>
      <c r="S7" s="20">
        <f>IF($B7="SECTION HEADER",$R7,S6)</f>
        <v/>
      </c>
    </row>
    <row r="8" ht="25.5" customHeight="1" s="63">
      <c r="B8" s="13" t="n"/>
      <c r="C8" s="13" t="n"/>
      <c r="D8" s="31" t="n"/>
      <c r="E8" s="15" t="n"/>
      <c r="F8" s="16" t="n"/>
      <c r="G8" s="16" t="n"/>
      <c r="H8" s="15" t="n"/>
      <c r="I8" s="17" t="n"/>
      <c r="J8" s="18" t="n"/>
      <c r="K8" s="18" t="n"/>
      <c r="L8" s="19" t="n"/>
      <c r="M8" s="15" t="n"/>
      <c r="N8" s="20">
        <f>IF($I8&lt;&gt;"",$I8&amp;IF(OR($P8="N/A",$P8=""),""," "&amp;$P8)&amp;IF(T($K8)&lt;&gt;"",": "&amp;$K8,""),T($J8))</f>
        <v/>
      </c>
      <c r="O8" s="21">
        <f>IF($I8&lt;&gt;"",IFERROR(INDEX(RateCard[Sell Price (charged to client, per shift)],MATCH($I8,RateCard[Officer Type],0)),0),N($L8))</f>
        <v/>
      </c>
      <c r="P8" s="22">
        <f>IF($I8&lt;&gt;"",IFERROR(INDEX(RateCard[PSIRA Grade],MATCH($I8,RateCard[Officer Type],0)),"N/A"),"N/A")</f>
        <v/>
      </c>
      <c r="Q8" s="21">
        <f>IF($B8="LINE ITEM",N($H8)*N($O8)*N($M8),"")</f>
        <v/>
      </c>
      <c r="R8" s="20">
        <f>IF($B8="SECTION HEADER",$C8&amp;": "&amp;TEXT($D8,"dddd d mmmm yyyy")&amp;" - "&amp;$E8&amp;" ("&amp;TEXT($F8,"hh""h""mm")&amp;" - "&amp;TEXT($G8,"hh""h""mm")&amp;")","")</f>
        <v/>
      </c>
      <c r="S8" s="20">
        <f>IF($B8="SECTION HEADER",$R8,S7)</f>
        <v/>
      </c>
    </row>
    <row r="9" ht="25.5" customHeight="1" s="63">
      <c r="B9" s="13" t="n"/>
      <c r="C9" s="13" t="n"/>
      <c r="D9" s="14" t="n"/>
      <c r="E9" s="15" t="n"/>
      <c r="F9" s="16" t="n"/>
      <c r="G9" s="16" t="n"/>
      <c r="H9" s="15" t="n"/>
      <c r="I9" s="17" t="n"/>
      <c r="J9" s="18" t="n"/>
      <c r="K9" s="18" t="n"/>
      <c r="L9" s="19" t="n"/>
      <c r="M9" s="15" t="n"/>
      <c r="N9" s="20">
        <f>IF($I9&lt;&gt;"",$I9&amp;IF(OR($P9="N/A",$P9=""),""," "&amp;$P9)&amp;IF(T($K9)&lt;&gt;"",": "&amp;$K9,""),T($J9))</f>
        <v/>
      </c>
      <c r="O9" s="21">
        <f>IF($I9&lt;&gt;"",IFERROR(INDEX(RateCard[Sell Price (charged to client, per shift)],MATCH($I9,RateCard[Officer Type],0)),0),N($L9))</f>
        <v/>
      </c>
      <c r="P9" s="22">
        <f>IF($I9&lt;&gt;"",IFERROR(INDEX(RateCard[PSIRA Grade],MATCH($I9,RateCard[Officer Type],0)),"N/A"),"N/A")</f>
        <v/>
      </c>
      <c r="Q9" s="21">
        <f>IF($B9="LINE ITEM",N($H9)*N($O9)*N($M9),"")</f>
        <v/>
      </c>
      <c r="R9" s="20">
        <f>IF($B9="SECTION HEADER",$C9&amp;": "&amp;TEXT($D9,"dddd d mmmm yyyy")&amp;" - "&amp;$E9&amp;" ("&amp;TEXT($F9,"hh""h""mm")&amp;" - "&amp;TEXT($G9,"hh""h""mm")&amp;")","")</f>
        <v/>
      </c>
      <c r="S9" s="20">
        <f>IF($B9="SECTION HEADER",$R9,S8)</f>
        <v/>
      </c>
    </row>
    <row r="10" ht="25.5" customHeight="1" s="63">
      <c r="B10" s="13" t="n"/>
      <c r="C10" s="13" t="n"/>
      <c r="D10" s="14" t="n"/>
      <c r="E10" s="15" t="n"/>
      <c r="F10" s="16" t="n"/>
      <c r="G10" s="16" t="n"/>
      <c r="H10" s="15" t="n"/>
      <c r="I10" s="17" t="n"/>
      <c r="J10" s="18" t="n"/>
      <c r="K10" s="18" t="n"/>
      <c r="L10" s="19" t="n"/>
      <c r="M10" s="15" t="n"/>
      <c r="N10" s="20">
        <f>IF($I10&lt;&gt;"",$I10&amp;IF(OR($P10="N/A",$P10=""),""," "&amp;$P10)&amp;IF(T($K10)&lt;&gt;"",": "&amp;$K10,""),T($J10))</f>
        <v/>
      </c>
      <c r="O10" s="21">
        <f>IF($I10&lt;&gt;"",IFERROR(INDEX(RateCard[Sell Price (charged to client, per shift)],MATCH($I10,RateCard[Officer Type],0)),0),N($L10))</f>
        <v/>
      </c>
      <c r="P10" s="22">
        <f>IF($I10&lt;&gt;"",IFERROR(INDEX(RateCard[PSIRA Grade],MATCH($I10,RateCard[Officer Type],0)),"N/A"),"N/A")</f>
        <v/>
      </c>
      <c r="Q10" s="21">
        <f>IF($B10="LINE ITEM",N($H10)*N($O10)*N($M10),"")</f>
        <v/>
      </c>
      <c r="R10" s="20">
        <f>IF($B10="SECTION HEADER",$C10&amp;": "&amp;TEXT($D10,"dddd d mmmm yyyy")&amp;" - "&amp;$E10&amp;" ("&amp;TEXT($F10,"hh""h""mm")&amp;" - "&amp;TEXT($G10,"hh""h""mm")&amp;")","")</f>
        <v/>
      </c>
      <c r="S10" s="20">
        <f>IF($B10="SECTION HEADER",$R10,S9)</f>
        <v/>
      </c>
    </row>
    <row r="11" ht="25.5" customHeight="1" s="63">
      <c r="B11" s="13" t="n"/>
      <c r="C11" s="13" t="n"/>
      <c r="D11" s="14" t="n"/>
      <c r="E11" s="15" t="n"/>
      <c r="F11" s="16" t="n"/>
      <c r="G11" s="16" t="n"/>
      <c r="H11" s="15" t="n"/>
      <c r="I11" s="17" t="n"/>
      <c r="J11" s="18" t="n"/>
      <c r="K11" s="18" t="n"/>
      <c r="L11" s="19" t="n"/>
      <c r="M11" s="15" t="n"/>
      <c r="N11" s="20">
        <f>IF($I11&lt;&gt;"",$I11&amp;IF(OR($P11="N/A",$P11=""),""," "&amp;$P11)&amp;IF(T($K11)&lt;&gt;"",": "&amp;$K11,""),T($J11))</f>
        <v/>
      </c>
      <c r="O11" s="21">
        <f>IF($I11&lt;&gt;"",IFERROR(INDEX(RateCard[Sell Price (charged to client, per shift)],MATCH($I11,RateCard[Officer Type],0)),0),N($L11))</f>
        <v/>
      </c>
      <c r="P11" s="22">
        <f>IF($I11&lt;&gt;"",IFERROR(INDEX(RateCard[PSIRA Grade],MATCH($I11,RateCard[Officer Type],0)),"N/A"),"N/A")</f>
        <v/>
      </c>
      <c r="Q11" s="21">
        <f>IF($B11="LINE ITEM",N($H11)*N($O11)*N($M11),"")</f>
        <v/>
      </c>
      <c r="R11" s="20">
        <f>IF($B11="SECTION HEADER",$C11&amp;": "&amp;TEXT($D11,"dddd d mmmm yyyy")&amp;" - "&amp;$E11&amp;" ("&amp;TEXT($F11,"hh""h""mm")&amp;" - "&amp;TEXT($G11,"hh""h""mm")&amp;")","")</f>
        <v/>
      </c>
      <c r="S11" s="20">
        <f>IF($B11="SECTION HEADER",$R11,S10)</f>
        <v/>
      </c>
    </row>
    <row r="12" ht="25.5" customHeight="1" s="63">
      <c r="B12" s="13" t="n"/>
      <c r="C12" s="13" t="n"/>
      <c r="D12" s="14" t="n"/>
      <c r="E12" s="15" t="n"/>
      <c r="F12" s="16" t="n"/>
      <c r="G12" s="16" t="n"/>
      <c r="H12" s="15" t="n"/>
      <c r="I12" s="17" t="n"/>
      <c r="J12" s="18" t="n"/>
      <c r="K12" s="18" t="n"/>
      <c r="L12" s="19" t="n"/>
      <c r="M12" s="15" t="n"/>
      <c r="N12" s="20">
        <f>IF($I12&lt;&gt;"",$I12&amp;IF(OR($P12="N/A",$P12=""),""," "&amp;$P12)&amp;IF(T($K12)&lt;&gt;"",": "&amp;$K12,""),T($J12))</f>
        <v/>
      </c>
      <c r="O12" s="21">
        <f>IF($I12&lt;&gt;"",IFERROR(INDEX(RateCard[Sell Price (charged to client, per shift)],MATCH($I12,RateCard[Officer Type],0)),0),N($L12))</f>
        <v/>
      </c>
      <c r="P12" s="22">
        <f>IF($I12&lt;&gt;"",IFERROR(INDEX(RateCard[PSIRA Grade],MATCH($I12,RateCard[Officer Type],0)),"N/A"),"N/A")</f>
        <v/>
      </c>
      <c r="Q12" s="21">
        <f>IF($B12="LINE ITEM",N($H12)*N($O12)*N($M12),"")</f>
        <v/>
      </c>
      <c r="R12" s="20">
        <f>IF($B12="SECTION HEADER",$C12&amp;": "&amp;TEXT($D12,"dddd d mmmm yyyy")&amp;" - "&amp;$E12&amp;" ("&amp;TEXT($F12,"hh""h""mm")&amp;" - "&amp;TEXT($G12,"hh""h""mm")&amp;")","")</f>
        <v/>
      </c>
      <c r="S12" s="20">
        <f>IF($B12="SECTION HEADER",$R12,S11)</f>
        <v/>
      </c>
    </row>
    <row r="13" ht="25.5" customHeight="1" s="63">
      <c r="B13" s="13" t="n"/>
      <c r="C13" s="13" t="n"/>
      <c r="D13" s="14" t="n"/>
      <c r="E13" s="15" t="n"/>
      <c r="F13" s="16" t="n"/>
      <c r="G13" s="16" t="n"/>
      <c r="H13" s="15" t="n"/>
      <c r="I13" s="17" t="n"/>
      <c r="J13" s="18" t="n"/>
      <c r="K13" s="18" t="n"/>
      <c r="L13" s="19" t="n"/>
      <c r="M13" s="15" t="n"/>
      <c r="N13" s="20">
        <f>IF($I13&lt;&gt;"",$I13&amp;IF(OR($P13="N/A",$P13=""),""," "&amp;$P13)&amp;IF(T($K13)&lt;&gt;"",": "&amp;$K13,""),T($J13))</f>
        <v/>
      </c>
      <c r="O13" s="21">
        <f>IF($I13&lt;&gt;"",IFERROR(INDEX(RateCard[Sell Price (charged to client, per shift)],MATCH($I13,RateCard[Officer Type],0)),0),N($L13))</f>
        <v/>
      </c>
      <c r="P13" s="22">
        <f>IF($I13&lt;&gt;"",IFERROR(INDEX(RateCard[PSIRA Grade],MATCH($I13,RateCard[Officer Type],0)),"N/A"),"N/A")</f>
        <v/>
      </c>
      <c r="Q13" s="21">
        <f>IF($B13="LINE ITEM",N($H13)*N($O13)*N($M13),"")</f>
        <v/>
      </c>
      <c r="R13" s="20">
        <f>IF($B13="SECTION HEADER",$C13&amp;": "&amp;TEXT($D13,"dddd d mmmm yyyy")&amp;" - "&amp;$E13&amp;" ("&amp;TEXT($F13,"hh""h""mm")&amp;" - "&amp;TEXT($G13,"hh""h""mm")&amp;")","")</f>
        <v/>
      </c>
      <c r="S13" s="20">
        <f>IF($B13="SECTION HEADER",$R13,S12)</f>
        <v/>
      </c>
    </row>
    <row r="14" ht="25.5" customHeight="1" s="63">
      <c r="B14" s="13" t="n"/>
      <c r="C14" s="34" t="n"/>
      <c r="D14" s="14" t="n"/>
      <c r="E14" s="33" t="n"/>
      <c r="F14" s="16" t="n"/>
      <c r="G14" s="16" t="n"/>
      <c r="H14" s="15" t="n"/>
      <c r="I14" s="17" t="n"/>
      <c r="J14" s="18" t="n"/>
      <c r="K14" s="18" t="n"/>
      <c r="L14" s="19" t="n"/>
      <c r="M14" s="15" t="n"/>
      <c r="N14" s="20">
        <f>IF($I14&lt;&gt;"",$I14&amp;IF(OR($P14="N/A",$P14=""),""," "&amp;$P14)&amp;IF(T($K14)&lt;&gt;"",": "&amp;$K14,""),T($J14))</f>
        <v/>
      </c>
      <c r="O14" s="21">
        <f>IF($I14&lt;&gt;"",IFERROR(INDEX(RateCard[Sell Price (charged to client, per shift)],MATCH($I14,RateCard[Officer Type],0)),0),N($L14))</f>
        <v/>
      </c>
      <c r="P14" s="22">
        <f>IF($I14&lt;&gt;"",IFERROR(INDEX(RateCard[PSIRA Grade],MATCH($I14,RateCard[Officer Type],0)),"N/A"),"N/A")</f>
        <v/>
      </c>
      <c r="Q14" s="21">
        <f>IF($B14="LINE ITEM",N($H14)*N($O14)*N($M14),"")</f>
        <v/>
      </c>
      <c r="R14" s="20">
        <f>IF($B14="SECTION HEADER",$C14&amp;": "&amp;TEXT($D14,"dddd d mmmm yyyy")&amp;" - "&amp;$E14&amp;" ("&amp;TEXT($F14,"hh""h""mm")&amp;" - "&amp;TEXT($G14,"hh""h""mm")&amp;")","")</f>
        <v/>
      </c>
      <c r="S14" s="20">
        <f>IF($B14="SECTION HEADER",$R14,S13)</f>
        <v/>
      </c>
    </row>
    <row r="15" ht="25.5" customHeight="1" s="63">
      <c r="B15" s="13" t="n"/>
      <c r="C15" s="13" t="n"/>
      <c r="D15" s="14" t="n"/>
      <c r="E15" s="15" t="n"/>
      <c r="F15" s="16" t="n"/>
      <c r="G15" s="16" t="n"/>
      <c r="H15" s="15" t="n"/>
      <c r="I15" s="17" t="n"/>
      <c r="J15" s="18" t="n"/>
      <c r="K15" s="32" t="n"/>
      <c r="L15" s="19" t="n"/>
      <c r="M15" s="15" t="n"/>
      <c r="N15" s="20">
        <f>IF($I15&lt;&gt;"",$I15&amp;IF(OR($P15="N/A",$P15=""),""," "&amp;$P15)&amp;IF(T($K15)&lt;&gt;"",": "&amp;$K15,""),T($J15))</f>
        <v/>
      </c>
      <c r="O15" s="21">
        <f>IF($I15&lt;&gt;"",IFERROR(INDEX(RateCard[Sell Price (charged to client, per shift)],MATCH($I15,RateCard[Officer Type],0)),0),N($L15))</f>
        <v/>
      </c>
      <c r="P15" s="22">
        <f>IF($I15&lt;&gt;"",IFERROR(INDEX(RateCard[PSIRA Grade],MATCH($I15,RateCard[Officer Type],0)),"N/A"),"N/A")</f>
        <v/>
      </c>
      <c r="Q15" s="21">
        <f>IF($B15="LINE ITEM",N($H15)*N($O15)*N($M15),"")</f>
        <v/>
      </c>
      <c r="R15" s="20">
        <f>IF($B15="SECTION HEADER",$C15&amp;": "&amp;TEXT($D15,"dddd d mmmm yyyy")&amp;" - "&amp;$E15&amp;" ("&amp;TEXT($F15,"hh""h""mm")&amp;" - "&amp;TEXT($G15,"hh""h""mm")&amp;")","")</f>
        <v/>
      </c>
      <c r="S15" s="20">
        <f>IF($B15="SECTION HEADER",$R15,S14)</f>
        <v/>
      </c>
    </row>
    <row r="16" ht="25.5" customHeight="1" s="63">
      <c r="B16" s="13" t="n"/>
      <c r="C16" s="13" t="n"/>
      <c r="D16" s="14" t="n"/>
      <c r="E16" s="15" t="n"/>
      <c r="F16" s="16" t="n"/>
      <c r="G16" s="16" t="n"/>
      <c r="H16" s="15" t="n"/>
      <c r="I16" s="17" t="n"/>
      <c r="J16" s="18" t="n"/>
      <c r="K16" s="18" t="n"/>
      <c r="L16" s="19" t="n"/>
      <c r="M16" s="15" t="n"/>
      <c r="N16" s="20">
        <f>IF($I16&lt;&gt;"",$I16&amp;IF(OR($P16="N/A",$P16=""),""," "&amp;$P16)&amp;IF(T($K16)&lt;&gt;"",": "&amp;$K16,""),T($J16))</f>
        <v/>
      </c>
      <c r="O16" s="21">
        <f>IF($I16&lt;&gt;"",IFERROR(INDEX(RateCard[Sell Price (charged to client, per shift)],MATCH($I16,RateCard[Officer Type],0)),0),N($L16))</f>
        <v/>
      </c>
      <c r="P16" s="22">
        <f>IF($I16&lt;&gt;"",IFERROR(INDEX(RateCard[PSIRA Grade],MATCH($I16,RateCard[Officer Type],0)),"N/A"),"N/A")</f>
        <v/>
      </c>
      <c r="Q16" s="21">
        <f>IF($B16="LINE ITEM",N($H16)*N($O16)*N($M16),"")</f>
        <v/>
      </c>
      <c r="R16" s="20">
        <f>IF($B16="SECTION HEADER",$C16&amp;": "&amp;TEXT($D16,"dddd d mmmm yyyy")&amp;" - "&amp;$E16&amp;" ("&amp;TEXT($F16,"hh""h""mm")&amp;" - "&amp;TEXT($G16,"hh""h""mm")&amp;")","")</f>
        <v/>
      </c>
      <c r="S16" s="20">
        <f>IF($B16="SECTION HEADER",$R16,S15)</f>
        <v/>
      </c>
    </row>
    <row r="17" ht="25.5" customHeight="1" s="63">
      <c r="B17" s="13" t="n"/>
      <c r="C17" s="34" t="n"/>
      <c r="D17" s="14" t="n"/>
      <c r="E17" s="33" t="n"/>
      <c r="F17" s="16" t="n"/>
      <c r="G17" s="16" t="n"/>
      <c r="H17" s="15" t="n"/>
      <c r="I17" s="17" t="n"/>
      <c r="J17" s="18" t="n"/>
      <c r="K17" s="18" t="n"/>
      <c r="L17" s="19" t="n"/>
      <c r="M17" s="15" t="n"/>
      <c r="N17" s="20">
        <f>IF($I17&lt;&gt;"",$I17&amp;IF(OR($P17="N/A",$P17=""),""," "&amp;$P17)&amp;IF(T($K17)&lt;&gt;"",": "&amp;$K17,""),T($J17))</f>
        <v/>
      </c>
      <c r="O17" s="21">
        <f>IF($I17&lt;&gt;"",IFERROR(INDEX(RateCard[Sell Price (charged to client, per shift)],MATCH($I17,RateCard[Officer Type],0)),0),N($L17))</f>
        <v/>
      </c>
      <c r="P17" s="22">
        <f>IF($I17&lt;&gt;"",IFERROR(INDEX(RateCard[PSIRA Grade],MATCH($I17,RateCard[Officer Type],0)),"N/A"),"N/A")</f>
        <v/>
      </c>
      <c r="Q17" s="21">
        <f>IF($B17="LINE ITEM",N($H17)*N($O17)*N($M17),"")</f>
        <v/>
      </c>
      <c r="R17" s="20">
        <f>IF($B17="SECTION HEADER",$C17&amp;": "&amp;TEXT($D17,"dddd d mmmm yyyy")&amp;" - "&amp;$E17&amp;" ("&amp;TEXT($F17,"hh""h""mm")&amp;" - "&amp;TEXT($G17,"hh""h""mm")&amp;")","")</f>
        <v/>
      </c>
      <c r="S17" s="20">
        <f>IF($B17="SECTION HEADER",$R17,S16)</f>
        <v/>
      </c>
    </row>
    <row r="18" ht="25.5" customHeight="1" s="63">
      <c r="B18" s="13" t="n"/>
      <c r="C18" s="13" t="n"/>
      <c r="D18" s="14" t="n"/>
      <c r="E18" s="15" t="n"/>
      <c r="F18" s="16" t="n"/>
      <c r="G18" s="16" t="n"/>
      <c r="H18" s="15" t="n"/>
      <c r="I18" s="17" t="n"/>
      <c r="J18" s="18" t="n"/>
      <c r="K18" s="18" t="n"/>
      <c r="L18" s="35" t="n"/>
      <c r="M18" s="15" t="n"/>
      <c r="N18" s="20">
        <f>IF($I18&lt;&gt;"",$I18&amp;IF(OR($P18="N/A",$P18=""),""," "&amp;$P18)&amp;IF(T($K18)&lt;&gt;"",": "&amp;$K18,""),T($J18))</f>
        <v/>
      </c>
      <c r="O18" s="21">
        <f>IF($I18&lt;&gt;"",IFERROR(INDEX(RateCard[Sell Price (charged to client, per shift)],MATCH($I18,RateCard[Officer Type],0)),0),N($L18))</f>
        <v/>
      </c>
      <c r="P18" s="22">
        <f>IF($I18&lt;&gt;"",IFERROR(INDEX(RateCard[PSIRA Grade],MATCH($I18,RateCard[Officer Type],0)),"N/A"),"N/A")</f>
        <v/>
      </c>
      <c r="Q18" s="21">
        <f>IF($B18="LINE ITEM",N($H18)*N($O18)*N($M18),"")</f>
        <v/>
      </c>
      <c r="R18" s="20">
        <f>IF($B18="SECTION HEADER",$C18&amp;": "&amp;TEXT($D18,"dddd d mmmm yyyy")&amp;" - "&amp;$E18&amp;" ("&amp;TEXT($F18,"hh""h""mm")&amp;" - "&amp;TEXT($G18,"hh""h""mm")&amp;")","")</f>
        <v/>
      </c>
      <c r="S18" s="20">
        <f>IF($B18="SECTION HEADER",$R18,S17)</f>
        <v/>
      </c>
    </row>
    <row r="19" ht="25.5" customHeight="1" s="63">
      <c r="B19" s="13" t="n"/>
      <c r="C19" s="13" t="n"/>
      <c r="D19" s="14" t="n"/>
      <c r="E19" s="15" t="n"/>
      <c r="F19" s="16" t="n"/>
      <c r="G19" s="16" t="n"/>
      <c r="H19" s="15" t="n"/>
      <c r="I19" s="17" t="n"/>
      <c r="J19" s="18" t="n"/>
      <c r="K19" s="32" t="n"/>
      <c r="L19" s="19" t="n"/>
      <c r="M19" s="15" t="n"/>
      <c r="N19" s="20">
        <f>IF($I19&lt;&gt;"",$I19&amp;IF(OR($P19="N/A",$P19=""),""," "&amp;$P19)&amp;IF(T($K19)&lt;&gt;"",": "&amp;$K19,""),T($J19))</f>
        <v/>
      </c>
      <c r="O19" s="21">
        <f>IF($I19&lt;&gt;"",IFERROR(INDEX(RateCard[Sell Price (charged to client, per shift)],MATCH($I19,RateCard[Officer Type],0)),0),N($L19))</f>
        <v/>
      </c>
      <c r="P19" s="22">
        <f>IF($I19&lt;&gt;"",IFERROR(INDEX(RateCard[PSIRA Grade],MATCH($I19,RateCard[Officer Type],0)),"N/A"),"N/A")</f>
        <v/>
      </c>
      <c r="Q19" s="21">
        <f>IF($B19="LINE ITEM",N($H19)*N($O19)*N($M19),"")</f>
        <v/>
      </c>
      <c r="R19" s="20">
        <f>IF($B19="SECTION HEADER",$C19&amp;": "&amp;TEXT($D19,"dddd d mmmm yyyy")&amp;" - "&amp;$E19&amp;" ("&amp;TEXT($F19,"hh""h""mm")&amp;" - "&amp;TEXT($G19,"hh""h""mm")&amp;")","")</f>
        <v/>
      </c>
      <c r="S19" s="20">
        <f>IF($B19="SECTION HEADER",$R19,S18)</f>
        <v/>
      </c>
    </row>
    <row r="20" ht="25.5" customHeight="1" s="63">
      <c r="B20" s="13" t="n"/>
      <c r="C20" s="34" t="n"/>
      <c r="D20" s="14" t="n"/>
      <c r="E20" s="33" t="n"/>
      <c r="F20" s="16" t="n"/>
      <c r="G20" s="16" t="n"/>
      <c r="H20" s="15" t="n"/>
      <c r="I20" s="17" t="n"/>
      <c r="J20" s="18" t="n"/>
      <c r="K20" s="18" t="n"/>
      <c r="L20" s="19" t="n"/>
      <c r="M20" s="15" t="n"/>
      <c r="N20" s="20">
        <f>IF($I20&lt;&gt;"",$I20&amp;IF(OR($P20="N/A",$P20=""),""," "&amp;$P20)&amp;IF(T($K20)&lt;&gt;"",": "&amp;$K20,""),T($J20))</f>
        <v/>
      </c>
      <c r="O20" s="21">
        <f>IF($I20&lt;&gt;"",IFERROR(INDEX(RateCard[Sell Price (charged to client, per shift)],MATCH($I20,RateCard[Officer Type],0)),0),N($L20))</f>
        <v/>
      </c>
      <c r="P20" s="22">
        <f>IF($I20&lt;&gt;"",IFERROR(INDEX(RateCard[PSIRA Grade],MATCH($I20,RateCard[Officer Type],0)),"N/A"),"N/A")</f>
        <v/>
      </c>
      <c r="Q20" s="21">
        <f>IF($B20="LINE ITEM",N($H20)*N($O20)*N($M20),"")</f>
        <v/>
      </c>
      <c r="R20" s="20">
        <f>IF($B20="SECTION HEADER",$C20&amp;": "&amp;TEXT($D20,"dddd d mmmm yyyy")&amp;" - "&amp;$E20&amp;" ("&amp;TEXT($F20,"hh""h""mm")&amp;" - "&amp;TEXT($G20,"hh""h""mm")&amp;")","")</f>
        <v/>
      </c>
      <c r="S20" s="20">
        <f>IF($B20="SECTION HEADER",$R20,S19)</f>
        <v/>
      </c>
    </row>
    <row r="21" ht="25.5" customHeight="1" s="63">
      <c r="B21" s="13" t="n"/>
      <c r="C21" s="13" t="n"/>
      <c r="D21" s="14" t="n"/>
      <c r="E21" s="15" t="n"/>
      <c r="F21" s="16" t="n"/>
      <c r="G21" s="16" t="n"/>
      <c r="H21" s="15" t="n"/>
      <c r="I21" s="17" t="n"/>
      <c r="J21" s="32" t="n"/>
      <c r="K21" s="18" t="n"/>
      <c r="L21" s="19" t="n"/>
      <c r="M21" s="15" t="n"/>
      <c r="N21" s="20">
        <f>IF($I21&lt;&gt;"",$I21&amp;IF(OR($P21="N/A",$P21=""),""," "&amp;$P21)&amp;IF(T($K21)&lt;&gt;"",": "&amp;$K21,""),T($J21))</f>
        <v/>
      </c>
      <c r="O21" s="21">
        <f>IF($I21&lt;&gt;"",IFERROR(INDEX(RateCard[Sell Price (charged to client, per shift)],MATCH($I21,RateCard[Officer Type],0)),0),N($L21))</f>
        <v/>
      </c>
      <c r="P21" s="22">
        <f>IF($I21&lt;&gt;"",IFERROR(INDEX(RateCard[PSIRA Grade],MATCH($I21,RateCard[Officer Type],0)),"N/A"),"N/A")</f>
        <v/>
      </c>
      <c r="Q21" s="21">
        <f>IF($B21="LINE ITEM",N($H21)*N($O21)*N($M21),"")</f>
        <v/>
      </c>
      <c r="R21" s="20">
        <f>IF($B21="SECTION HEADER",$C21&amp;": "&amp;TEXT($D21,"dddd d mmmm yyyy")&amp;" - "&amp;$E21&amp;" ("&amp;TEXT($F21,"hh""h""mm")&amp;" - "&amp;TEXT($G21,"hh""h""mm")&amp;")","")</f>
        <v/>
      </c>
      <c r="S21" s="20">
        <f>IF($B21="SECTION HEADER",$R21,S20)</f>
        <v/>
      </c>
    </row>
    <row r="22" ht="25.5" customHeight="1" s="63">
      <c r="B22" s="13" t="n"/>
      <c r="C22" s="13" t="n"/>
      <c r="D22" s="14" t="n"/>
      <c r="E22" s="15" t="n"/>
      <c r="F22" s="16" t="n"/>
      <c r="G22" s="16" t="n"/>
      <c r="H22" s="15" t="n"/>
      <c r="I22" s="17" t="n"/>
      <c r="J22" s="18" t="n"/>
      <c r="K22" s="18" t="n"/>
      <c r="L22" s="19" t="n"/>
      <c r="M22" s="15" t="n"/>
      <c r="N22" s="20">
        <f>IF($I22&lt;&gt;"",$I22&amp;IF(OR($P22="N/A",$P22=""),""," "&amp;$P22)&amp;IF(T($K22)&lt;&gt;"",": "&amp;$K22,""),T($J22))</f>
        <v/>
      </c>
      <c r="O22" s="21">
        <f>IF($I22&lt;&gt;"",IFERROR(INDEX(RateCard[Sell Price (charged to client, per shift)],MATCH($I22,RateCard[Officer Type],0)),0),N($L22))</f>
        <v/>
      </c>
      <c r="P22" s="22">
        <f>IF($I22&lt;&gt;"",IFERROR(INDEX(RateCard[PSIRA Grade],MATCH($I22,RateCard[Officer Type],0)),"N/A"),"N/A")</f>
        <v/>
      </c>
      <c r="Q22" s="21">
        <f>IF($B22="LINE ITEM",N($H22)*N($O22)*N($M22),"")</f>
        <v/>
      </c>
      <c r="R22" s="20">
        <f>IF($B22="SECTION HEADER",$C22&amp;": "&amp;TEXT($D22,"dddd d mmmm yyyy")&amp;" - "&amp;$E22&amp;" ("&amp;TEXT($F22,"hh""h""mm")&amp;" - "&amp;TEXT($G22,"hh""h""mm")&amp;")","")</f>
        <v/>
      </c>
      <c r="S22" s="20">
        <f>IF($B22="SECTION HEADER",$R22,S21)</f>
        <v/>
      </c>
    </row>
    <row r="23" ht="25.5" customHeight="1" s="63">
      <c r="B23" s="13" t="n"/>
      <c r="C23" s="13" t="n"/>
      <c r="D23" s="14" t="n"/>
      <c r="E23" s="15" t="n"/>
      <c r="F23" s="16" t="n"/>
      <c r="G23" s="16" t="n"/>
      <c r="H23" s="15" t="n"/>
      <c r="I23" s="17" t="n"/>
      <c r="J23" s="18" t="n"/>
      <c r="K23" s="32" t="n"/>
      <c r="L23" s="19" t="n"/>
      <c r="M23" s="15" t="n"/>
      <c r="N23" s="20">
        <f>IF($I23&lt;&gt;"",$I23&amp;IF(OR($P23="N/A",$P23=""),""," "&amp;$P23)&amp;IF(T($K23)&lt;&gt;"",": "&amp;$K23,""),T($J23))</f>
        <v/>
      </c>
      <c r="O23" s="21">
        <f>IF($I23&lt;&gt;"",IFERROR(INDEX(RateCard[Sell Price (charged to client, per shift)],MATCH($I23,RateCard[Officer Type],0)),0),N($L23))</f>
        <v/>
      </c>
      <c r="P23" s="22">
        <f>IF($I23&lt;&gt;"",IFERROR(INDEX(RateCard[PSIRA Grade],MATCH($I23,RateCard[Officer Type],0)),"N/A"),"N/A")</f>
        <v/>
      </c>
      <c r="Q23" s="21">
        <f>IF($B23="LINE ITEM",N($H23)*N($O23)*N($M23),"")</f>
        <v/>
      </c>
      <c r="R23" s="20">
        <f>IF($B23="SECTION HEADER",$C23&amp;": "&amp;TEXT($D23,"dddd d mmmm yyyy")&amp;" - "&amp;$E23&amp;" ("&amp;TEXT($F23,"hh""h""mm")&amp;" - "&amp;TEXT($G23,"hh""h""mm")&amp;")","")</f>
        <v/>
      </c>
      <c r="S23" s="20">
        <f>IF($B23="SECTION HEADER",$R23,S22)</f>
        <v/>
      </c>
    </row>
    <row r="24" ht="25.5" customHeight="1" s="63">
      <c r="B24" s="13" t="n"/>
      <c r="C24" s="13" t="n"/>
      <c r="D24" s="14" t="n"/>
      <c r="E24" s="15" t="n"/>
      <c r="F24" s="16" t="n"/>
      <c r="G24" s="16" t="n"/>
      <c r="H24" s="15" t="n"/>
      <c r="I24" s="17" t="n"/>
      <c r="J24" s="18" t="n"/>
      <c r="K24" s="18" t="n"/>
      <c r="L24" s="19" t="n"/>
      <c r="M24" s="15" t="n"/>
      <c r="N24" s="20">
        <f>IF($I24&lt;&gt;"",$I24&amp;IF(OR($P24="N/A",$P24=""),""," "&amp;$P24)&amp;IF(T($K24)&lt;&gt;"",": "&amp;$K24,""),T($J24))</f>
        <v/>
      </c>
      <c r="O24" s="21">
        <f>IF($I24&lt;&gt;"",IFERROR(INDEX(RateCard[Sell Price (charged to client, per shift)],MATCH($I24,RateCard[Officer Type],0)),0),N($L24))</f>
        <v/>
      </c>
      <c r="P24" s="22">
        <f>IF($I24&lt;&gt;"",IFERROR(INDEX(RateCard[PSIRA Grade],MATCH($I24,RateCard[Officer Type],0)),"N/A"),"N/A")</f>
        <v/>
      </c>
      <c r="Q24" s="21">
        <f>IF($B24="LINE ITEM",N($H24)*N($O24)*N($M24),"")</f>
        <v/>
      </c>
      <c r="R24" s="20">
        <f>IF($B24="SECTION HEADER",$C24&amp;": "&amp;TEXT($D24,"dddd d mmmm yyyy")&amp;" - "&amp;$E24&amp;" ("&amp;TEXT($F24,"hh""h""mm")&amp;" - "&amp;TEXT($G24,"hh""h""mm")&amp;")","")</f>
        <v/>
      </c>
      <c r="S24" s="20">
        <f>IF($B24="SECTION HEADER",$R24,S23)</f>
        <v/>
      </c>
    </row>
    <row r="25" ht="25.5" customHeight="1" s="63">
      <c r="B25" s="13" t="n"/>
      <c r="C25" s="13" t="n"/>
      <c r="D25" s="14" t="n"/>
      <c r="E25" s="15" t="n"/>
      <c r="F25" s="16" t="n"/>
      <c r="G25" s="16" t="n"/>
      <c r="H25" s="15" t="n"/>
      <c r="I25" s="17" t="n"/>
      <c r="J25" s="18" t="n"/>
      <c r="K25" s="32" t="n"/>
      <c r="L25" s="19" t="n"/>
      <c r="M25" s="15" t="n"/>
      <c r="N25" s="20">
        <f>IF($I25&lt;&gt;"",$I25&amp;IF(OR($P25="N/A",$P25=""),""," "&amp;$P25)&amp;IF(T($K25)&lt;&gt;"",": "&amp;$K25,""),T($J25))</f>
        <v/>
      </c>
      <c r="O25" s="21">
        <f>IF($I25&lt;&gt;"",IFERROR(INDEX(RateCard[Sell Price (charged to client, per shift)],MATCH($I25,RateCard[Officer Type],0)),0),N($L25))</f>
        <v/>
      </c>
      <c r="P25" s="22">
        <f>IF($I25&lt;&gt;"",IFERROR(INDEX(RateCard[PSIRA Grade],MATCH($I25,RateCard[Officer Type],0)),"N/A"),"N/A")</f>
        <v/>
      </c>
      <c r="Q25" s="21">
        <f>IF($B25="LINE ITEM",N($H25)*N($O25)*N($M25),"")</f>
        <v/>
      </c>
      <c r="R25" s="20">
        <f>IF($B25="SECTION HEADER",$C25&amp;": "&amp;TEXT($D25,"dddd d mmmm yyyy")&amp;" - "&amp;$E25&amp;" ("&amp;TEXT($F25,"hh""h""mm")&amp;" - "&amp;TEXT($G25,"hh""h""mm")&amp;")","")</f>
        <v/>
      </c>
      <c r="S25" s="20">
        <f>IF($B25="SECTION HEADER",$R25,S24)</f>
        <v/>
      </c>
    </row>
    <row r="26" ht="25.5" customHeight="1" s="63">
      <c r="B26" s="13" t="n"/>
      <c r="C26" s="13" t="n"/>
      <c r="D26" s="14" t="n"/>
      <c r="E26" s="15" t="n"/>
      <c r="F26" s="16" t="n"/>
      <c r="G26" s="16" t="n"/>
      <c r="H26" s="15" t="n"/>
      <c r="I26" s="17" t="n"/>
      <c r="J26" s="18" t="n"/>
      <c r="K26" s="18" t="n"/>
      <c r="L26" s="19" t="n"/>
      <c r="M26" s="15" t="n"/>
      <c r="N26" s="20">
        <f>IF($I26&lt;&gt;"",$I26&amp;IF(OR($P26="N/A",$P26=""),""," "&amp;$P26)&amp;IF(T($K26)&lt;&gt;"",": "&amp;$K26,""),T($J26))</f>
        <v/>
      </c>
      <c r="O26" s="21">
        <f>IF($I26&lt;&gt;"",IFERROR(INDEX(RateCard[Sell Price (charged to client, per shift)],MATCH($I26,RateCard[Officer Type],0)),0),N($L26))</f>
        <v/>
      </c>
      <c r="P26" s="22">
        <f>IF($I26&lt;&gt;"",IFERROR(INDEX(RateCard[PSIRA Grade],MATCH($I26,RateCard[Officer Type],0)),"N/A"),"N/A")</f>
        <v/>
      </c>
      <c r="Q26" s="21">
        <f>IF($B26="LINE ITEM",N($H26)*N($O26)*N($M26),"")</f>
        <v/>
      </c>
      <c r="R26" s="20">
        <f>IF($B26="SECTION HEADER",$C26&amp;": "&amp;TEXT($D26,"dddd d mmmm yyyy")&amp;" - "&amp;$E26&amp;" ("&amp;TEXT($F26,"hh""h""mm")&amp;" - "&amp;TEXT($G26,"hh""h""mm")&amp;")","")</f>
        <v/>
      </c>
      <c r="S26" s="20">
        <f>IF($B26="SECTION HEADER",$R26,S25)</f>
        <v/>
      </c>
    </row>
    <row r="27" ht="25.5" customHeight="1" s="63">
      <c r="B27" s="13" t="n"/>
      <c r="C27" s="13" t="n"/>
      <c r="D27" s="14" t="n"/>
      <c r="E27" s="15" t="n"/>
      <c r="F27" s="16" t="n"/>
      <c r="G27" s="16" t="n"/>
      <c r="H27" s="15" t="n"/>
      <c r="I27" s="17" t="n"/>
      <c r="J27" s="18" t="n"/>
      <c r="K27" s="18" t="n"/>
      <c r="L27" s="19" t="n"/>
      <c r="M27" s="15" t="n"/>
      <c r="N27" s="20">
        <f>IF($I27&lt;&gt;"",$I27&amp;IF(OR($P27="N/A",$P27=""),""," "&amp;$P27)&amp;IF(T($K27)&lt;&gt;"",": "&amp;$K27,""),T($J27))</f>
        <v/>
      </c>
      <c r="O27" s="21">
        <f>IF($I27&lt;&gt;"",IFERROR(INDEX(RateCard[Sell Price (charged to client, per shift)],MATCH($I27,RateCard[Officer Type],0)),0),N($L27))</f>
        <v/>
      </c>
      <c r="P27" s="22">
        <f>IF($I27&lt;&gt;"",IFERROR(INDEX(RateCard[PSIRA Grade],MATCH($I27,RateCard[Officer Type],0)),"N/A"),"N/A")</f>
        <v/>
      </c>
      <c r="Q27" s="21">
        <f>IF($B27="LINE ITEM",N($H27)*N($O27)*N($M27),"")</f>
        <v/>
      </c>
      <c r="R27" s="20">
        <f>IF($B27="SECTION HEADER",$C27&amp;": "&amp;TEXT($D27,"dddd d mmmm yyyy")&amp;" - "&amp;$E27&amp;" ("&amp;TEXT($F27,"hh""h""mm")&amp;" - "&amp;TEXT($G27,"hh""h""mm")&amp;")","")</f>
        <v/>
      </c>
      <c r="S27" s="20">
        <f>IF($B27="SECTION HEADER",$R27,S26)</f>
        <v/>
      </c>
    </row>
    <row r="28" ht="25.5" customHeight="1" s="63">
      <c r="B28" s="13" t="n"/>
      <c r="C28" s="13" t="n"/>
      <c r="D28" s="14" t="n"/>
      <c r="E28" s="15" t="n"/>
      <c r="F28" s="16" t="n"/>
      <c r="G28" s="16" t="n"/>
      <c r="H28" s="15" t="n"/>
      <c r="I28" s="17" t="n"/>
      <c r="J28" s="18" t="n"/>
      <c r="K28" s="18" t="n"/>
      <c r="L28" s="19" t="n"/>
      <c r="M28" s="15" t="n"/>
      <c r="N28" s="20">
        <f>IF($I28&lt;&gt;"",$I28&amp;IF(OR($P28="N/A",$P28=""),""," "&amp;$P28)&amp;IF(T($K28)&lt;&gt;"",": "&amp;$K28,""),T($J28))</f>
        <v/>
      </c>
      <c r="O28" s="21">
        <f>IF($I28&lt;&gt;"",IFERROR(INDEX(RateCard[Sell Price (charged to client, per shift)],MATCH($I28,RateCard[Officer Type],0)),0),N($L28))</f>
        <v/>
      </c>
      <c r="P28" s="22">
        <f>IF($I28&lt;&gt;"",IFERROR(INDEX(RateCard[PSIRA Grade],MATCH($I28,RateCard[Officer Type],0)),"N/A"),"N/A")</f>
        <v/>
      </c>
      <c r="Q28" s="21">
        <f>IF($B28="LINE ITEM",N($H28)*N($O28)*N($M28),"")</f>
        <v/>
      </c>
      <c r="R28" s="20">
        <f>IF($B28="SECTION HEADER",$C28&amp;": "&amp;TEXT($D28,"dddd d mmmm yyyy")&amp;" - "&amp;$E28&amp;" ("&amp;TEXT($F28,"hh""h""mm")&amp;" - "&amp;TEXT($G28,"hh""h""mm")&amp;")","")</f>
        <v/>
      </c>
      <c r="S28" s="20">
        <f>IF($B28="SECTION HEADER",$R28,S27)</f>
        <v/>
      </c>
    </row>
    <row r="29" ht="25.5" customHeight="1" s="63">
      <c r="B29" s="13" t="n"/>
      <c r="C29" s="13" t="n"/>
      <c r="D29" s="14" t="n"/>
      <c r="E29" s="15" t="n"/>
      <c r="F29" s="16" t="n"/>
      <c r="G29" s="16" t="n"/>
      <c r="H29" s="15" t="n"/>
      <c r="I29" s="17" t="n"/>
      <c r="J29" s="18" t="n"/>
      <c r="K29" s="18" t="n"/>
      <c r="L29" s="19" t="n"/>
      <c r="M29" s="15" t="n"/>
      <c r="N29" s="20">
        <f>IF($I29&lt;&gt;"",$I29&amp;IF(OR($P29="N/A",$P29=""),""," "&amp;$P29)&amp;IF(T($K29)&lt;&gt;"",": "&amp;$K29,""),T($J29))</f>
        <v/>
      </c>
      <c r="O29" s="21">
        <f>IF($I29&lt;&gt;"",IFERROR(INDEX(RateCard[Sell Price (charged to client, per shift)],MATCH($I29,RateCard[Officer Type],0)),0),N($L29))</f>
        <v/>
      </c>
      <c r="P29" s="22">
        <f>IF($I29&lt;&gt;"",IFERROR(INDEX(RateCard[PSIRA Grade],MATCH($I29,RateCard[Officer Type],0)),"N/A"),"N/A")</f>
        <v/>
      </c>
      <c r="Q29" s="21">
        <f>IF($B29="LINE ITEM",N($H29)*N($O29)*N($M29),"")</f>
        <v/>
      </c>
      <c r="R29" s="20">
        <f>IF($B29="SECTION HEADER",$C29&amp;": "&amp;TEXT($D29,"dddd d mmmm yyyy")&amp;" - "&amp;$E29&amp;" ("&amp;TEXT($F29,"hh""h""mm")&amp;" - "&amp;TEXT($G29,"hh""h""mm")&amp;")","")</f>
        <v/>
      </c>
      <c r="S29" s="20">
        <f>IF($B29="SECTION HEADER",$R29,S28)</f>
        <v/>
      </c>
    </row>
    <row r="30" ht="25.5" customHeight="1" s="63">
      <c r="B30" s="13" t="n"/>
      <c r="C30" s="13" t="n"/>
      <c r="D30" s="14" t="n"/>
      <c r="E30" s="15" t="n"/>
      <c r="F30" s="16" t="n"/>
      <c r="G30" s="16" t="n"/>
      <c r="H30" s="15" t="n"/>
      <c r="I30" s="17" t="n"/>
      <c r="J30" s="18" t="n"/>
      <c r="K30" s="32" t="n"/>
      <c r="L30" s="19" t="n"/>
      <c r="M30" s="15" t="n"/>
      <c r="N30" s="20">
        <f>IF($I30&lt;&gt;"",$I30&amp;IF(OR($P30="N/A",$P30=""),""," "&amp;$P30)&amp;IF(T($K30)&lt;&gt;"",": "&amp;$K30,""),T($J30))</f>
        <v/>
      </c>
      <c r="O30" s="21">
        <f>IF($I30&lt;&gt;"",IFERROR(INDEX(RateCard[Sell Price (charged to client, per shift)],MATCH($I30,RateCard[Officer Type],0)),0),N($L30))</f>
        <v/>
      </c>
      <c r="P30" s="22">
        <f>IF($I30&lt;&gt;"",IFERROR(INDEX(RateCard[PSIRA Grade],MATCH($I30,RateCard[Officer Type],0)),"N/A"),"N/A")</f>
        <v/>
      </c>
      <c r="Q30" s="21">
        <f>IF($B30="LINE ITEM",N($H30)*N($O30)*N($M30),"")</f>
        <v/>
      </c>
      <c r="R30" s="20">
        <f>IF($B30="SECTION HEADER",$C30&amp;": "&amp;TEXT($D30,"dddd d mmmm yyyy")&amp;" - "&amp;$E30&amp;" ("&amp;TEXT($F30,"hh""h""mm")&amp;" - "&amp;TEXT($G30,"hh""h""mm")&amp;")","")</f>
        <v/>
      </c>
      <c r="S30" s="20">
        <f>IF($B30="SECTION HEADER",$R30,S29)</f>
        <v/>
      </c>
    </row>
    <row r="31" ht="25.5" customHeight="1" s="63">
      <c r="B31" s="13" t="n"/>
      <c r="C31" s="13" t="n"/>
      <c r="D31" s="14" t="n"/>
      <c r="E31" s="15" t="n"/>
      <c r="F31" s="16" t="n"/>
      <c r="G31" s="16" t="n"/>
      <c r="H31" s="15" t="n"/>
      <c r="I31" s="17" t="n"/>
      <c r="J31" s="18" t="n"/>
      <c r="K31" s="18" t="n"/>
      <c r="L31" s="19" t="n"/>
      <c r="M31" s="15" t="n"/>
      <c r="N31" s="20">
        <f>IF($I31&lt;&gt;"",$I31&amp;IF(OR($P31="N/A",$P31=""),""," "&amp;$P31)&amp;IF(T($K31)&lt;&gt;"",": "&amp;$K31,""),T($J31))</f>
        <v/>
      </c>
      <c r="O31" s="21">
        <f>IF($I31&lt;&gt;"",IFERROR(INDEX(RateCard[Sell Price (charged to client, per shift)],MATCH($I31,RateCard[Officer Type],0)),0),N($L31))</f>
        <v/>
      </c>
      <c r="P31" s="22">
        <f>IF($I31&lt;&gt;"",IFERROR(INDEX(RateCard[PSIRA Grade],MATCH($I31,RateCard[Officer Type],0)),"N/A"),"N/A")</f>
        <v/>
      </c>
      <c r="Q31" s="21">
        <f>IF($B31="LINE ITEM",N($H31)*N($O31)*N($M31),"")</f>
        <v/>
      </c>
      <c r="R31" s="20">
        <f>IF($B31="SECTION HEADER",$C31&amp;": "&amp;TEXT($D31,"dddd d mmmm yyyy")&amp;" - "&amp;$E31&amp;" ("&amp;TEXT($F31,"hh""h""mm")&amp;" - "&amp;TEXT($G31,"hh""h""mm")&amp;")","")</f>
        <v/>
      </c>
      <c r="S31" s="20">
        <f>IF($B31="SECTION HEADER",$R31,S30)</f>
        <v/>
      </c>
    </row>
    <row r="32" ht="25.5" customHeight="1" s="63">
      <c r="B32" s="13" t="n"/>
      <c r="C32" s="34" t="n"/>
      <c r="D32" s="14" t="n"/>
      <c r="E32" s="15" t="n"/>
      <c r="F32" s="16" t="n"/>
      <c r="G32" s="16" t="n"/>
      <c r="H32" s="15" t="n"/>
      <c r="I32" s="17" t="n"/>
      <c r="J32" s="18" t="n"/>
      <c r="K32" s="18" t="n"/>
      <c r="L32" s="19" t="n"/>
      <c r="M32" s="15" t="n"/>
      <c r="N32" s="20">
        <f>IF($I32&lt;&gt;"",$I32&amp;IF(OR($P32="N/A",$P32=""),""," "&amp;$P32)&amp;IF(T($K32)&lt;&gt;"",": "&amp;$K32,""),T($J32))</f>
        <v/>
      </c>
      <c r="O32" s="21">
        <f>IF($I32&lt;&gt;"",IFERROR(INDEX(RateCard[Sell Price (charged to client, per shift)],MATCH($I32,RateCard[Officer Type],0)),0),N($L32))</f>
        <v/>
      </c>
      <c r="P32" s="22">
        <f>IF($I32&lt;&gt;"",IFERROR(INDEX(RateCard[PSIRA Grade],MATCH($I32,RateCard[Officer Type],0)),"N/A"),"N/A")</f>
        <v/>
      </c>
      <c r="Q32" s="21">
        <f>IF($B32="LINE ITEM",N($H32)*N($O32)*N($M32),"")</f>
        <v/>
      </c>
      <c r="R32" s="20">
        <f>IF($B32="SECTION HEADER",$C32&amp;": "&amp;TEXT($D32,"dddd d mmmm yyyy")&amp;" - "&amp;$E32&amp;" ("&amp;TEXT($F32,"hh""h""mm")&amp;" - "&amp;TEXT($G32,"hh""h""mm")&amp;")","")</f>
        <v/>
      </c>
      <c r="S32" s="20">
        <f>IF($B32="SECTION HEADER",$R32,S31)</f>
        <v/>
      </c>
    </row>
    <row r="33" ht="25.5" customHeight="1" s="63">
      <c r="B33" s="13" t="n"/>
      <c r="C33" s="13" t="n"/>
      <c r="D33" s="14" t="n"/>
      <c r="E33" s="15" t="n"/>
      <c r="F33" s="16" t="n"/>
      <c r="G33" s="16" t="n"/>
      <c r="H33" s="15" t="n"/>
      <c r="I33" s="17" t="n"/>
      <c r="J33" s="18" t="n"/>
      <c r="K33" s="18" t="n"/>
      <c r="L33" s="19" t="n"/>
      <c r="M33" s="15" t="n"/>
      <c r="N33" s="20">
        <f>IF($I33&lt;&gt;"",$I33&amp;IF(OR($P33="N/A",$P33=""),""," "&amp;$P33)&amp;IF(T($K33)&lt;&gt;"",": "&amp;$K33,""),T($J33))</f>
        <v/>
      </c>
      <c r="O33" s="21">
        <f>IF($I33&lt;&gt;"",IFERROR(INDEX(RateCard[Sell Price (charged to client, per shift)],MATCH($I33,RateCard[Officer Type],0)),0),N($L33))</f>
        <v/>
      </c>
      <c r="P33" s="22">
        <f>IF($I33&lt;&gt;"",IFERROR(INDEX(RateCard[PSIRA Grade],MATCH($I33,RateCard[Officer Type],0)),"N/A"),"N/A")</f>
        <v/>
      </c>
      <c r="Q33" s="21">
        <f>IF($B33="LINE ITEM",N($H33)*N($O33)*N($M33),"")</f>
        <v/>
      </c>
      <c r="R33" s="20">
        <f>IF($B33="SECTION HEADER",$C33&amp;": "&amp;TEXT($D33,"dddd d mmmm yyyy")&amp;" - "&amp;$E33&amp;" ("&amp;TEXT($F33,"hh""h""mm")&amp;" - "&amp;TEXT($G33,"hh""h""mm")&amp;")","")</f>
        <v/>
      </c>
      <c r="S33" s="20">
        <f>IF($B33="SECTION HEADER",$R33,S32)</f>
        <v/>
      </c>
    </row>
    <row r="34" ht="25.5" customHeight="1" s="63">
      <c r="B34" s="13" t="n"/>
      <c r="C34" s="13" t="n"/>
      <c r="D34" s="14" t="n"/>
      <c r="E34" s="15" t="n"/>
      <c r="F34" s="16" t="n"/>
      <c r="G34" s="16" t="n"/>
      <c r="H34" s="15" t="n"/>
      <c r="I34" s="17" t="n"/>
      <c r="J34" s="18" t="n"/>
      <c r="K34" s="18" t="n"/>
      <c r="L34" s="19" t="n"/>
      <c r="M34" s="15" t="n"/>
      <c r="N34" s="20">
        <f>IF($I34&lt;&gt;"",$I34&amp;IF(OR($P34="N/A",$P34=""),""," "&amp;$P34)&amp;IF(T($K34)&lt;&gt;"",": "&amp;$K34,""),T($J34))</f>
        <v/>
      </c>
      <c r="O34" s="21">
        <f>IF($I34&lt;&gt;"",IFERROR(INDEX(RateCard[Sell Price (charged to client, per shift)],MATCH($I34,RateCard[Officer Type],0)),0),N($L34))</f>
        <v/>
      </c>
      <c r="P34" s="22">
        <f>IF($I34&lt;&gt;"",IFERROR(INDEX(RateCard[PSIRA Grade],MATCH($I34,RateCard[Officer Type],0)),"N/A"),"N/A")</f>
        <v/>
      </c>
      <c r="Q34" s="21">
        <f>IF($B34="LINE ITEM",N($H34)*N($O34)*N($M34),"")</f>
        <v/>
      </c>
      <c r="R34" s="20">
        <f>IF($B34="SECTION HEADER",$C34&amp;": "&amp;TEXT($D34,"dddd d mmmm yyyy")&amp;" - "&amp;$E34&amp;" ("&amp;TEXT($F34,"hh""h""mm")&amp;" - "&amp;TEXT($G34,"hh""h""mm")&amp;")","")</f>
        <v/>
      </c>
      <c r="S34" s="20">
        <f>IF($B34="SECTION HEADER",$R34,S33)</f>
        <v/>
      </c>
    </row>
    <row r="35" ht="25.5" customHeight="1" s="63">
      <c r="B35" s="13" t="n"/>
      <c r="C35" s="13" t="n"/>
      <c r="D35" s="14" t="n"/>
      <c r="E35" s="15" t="n"/>
      <c r="F35" s="16" t="n"/>
      <c r="G35" s="16" t="n"/>
      <c r="H35" s="15" t="n"/>
      <c r="I35" s="17" t="n"/>
      <c r="J35" s="18" t="n"/>
      <c r="K35" s="18" t="n"/>
      <c r="L35" s="19" t="n"/>
      <c r="M35" s="15" t="n"/>
      <c r="N35" s="20">
        <f>IF($I35&lt;&gt;"",$I35&amp;IF(OR($P35="N/A",$P35=""),""," "&amp;$P35)&amp;IF(T($K35)&lt;&gt;"",": "&amp;$K35,""),T($J35))</f>
        <v/>
      </c>
      <c r="O35" s="21">
        <f>IF($I35&lt;&gt;"",IFERROR(INDEX(RateCard[Sell Price (charged to client, per shift)],MATCH($I35,RateCard[Officer Type],0)),0),N($L35))</f>
        <v/>
      </c>
      <c r="P35" s="22">
        <f>IF($I35&lt;&gt;"",IFERROR(INDEX(RateCard[PSIRA Grade],MATCH($I35,RateCard[Officer Type],0)),"N/A"),"N/A")</f>
        <v/>
      </c>
      <c r="Q35" s="21">
        <f>IF($B35="LINE ITEM",N($H35)*N($O35)*N($M35),"")</f>
        <v/>
      </c>
      <c r="R35" s="20">
        <f>IF($B35="SECTION HEADER",$C35&amp;": "&amp;TEXT($D35,"dddd d mmmm yyyy")&amp;" - "&amp;$E35&amp;" ("&amp;TEXT($F35,"hh""h""mm")&amp;" - "&amp;TEXT($G35,"hh""h""mm")&amp;")","")</f>
        <v/>
      </c>
      <c r="S35" s="20">
        <f>IF($B35="SECTION HEADER",$R35,S34)</f>
        <v/>
      </c>
    </row>
    <row r="36" ht="25.5" customHeight="1" s="63">
      <c r="B36" s="13" t="n"/>
      <c r="C36" s="13" t="n"/>
      <c r="D36" s="14" t="n"/>
      <c r="E36" s="15" t="n"/>
      <c r="F36" s="16" t="n"/>
      <c r="G36" s="16" t="n"/>
      <c r="H36" s="15" t="n"/>
      <c r="I36" s="17" t="n"/>
      <c r="J36" s="18" t="n"/>
      <c r="K36" s="18" t="n"/>
      <c r="L36" s="19" t="n"/>
      <c r="M36" s="15" t="n"/>
      <c r="N36" s="20">
        <f>IF($I36&lt;&gt;"",$I36&amp;IF(OR($P36="N/A",$P36=""),""," "&amp;$P36)&amp;IF(T($K36)&lt;&gt;"",": "&amp;$K36,""),T($J36))</f>
        <v/>
      </c>
      <c r="O36" s="21">
        <f>IF($I36&lt;&gt;"",IFERROR(INDEX(RateCard[Sell Price (charged to client, per shift)],MATCH($I36,RateCard[Officer Type],0)),0),N($L36))</f>
        <v/>
      </c>
      <c r="P36" s="22">
        <f>IF($I36&lt;&gt;"",IFERROR(INDEX(RateCard[PSIRA Grade],MATCH($I36,RateCard[Officer Type],0)),"N/A"),"N/A")</f>
        <v/>
      </c>
      <c r="Q36" s="21">
        <f>IF($B36="LINE ITEM",N($H36)*N($O36)*N($M36),"")</f>
        <v/>
      </c>
      <c r="R36" s="20">
        <f>IF($B36="SECTION HEADER",$C36&amp;": "&amp;TEXT($D36,"dddd d mmmm yyyy")&amp;" - "&amp;$E36&amp;" ("&amp;TEXT($F36,"hh""h""mm")&amp;" - "&amp;TEXT($G36,"hh""h""mm")&amp;")","")</f>
        <v/>
      </c>
      <c r="S36" s="20">
        <f>IF($B36="SECTION HEADER",$R36,S35)</f>
        <v/>
      </c>
    </row>
    <row r="37" ht="25.5" customHeight="1" s="63">
      <c r="B37" s="13" t="n"/>
      <c r="C37" s="34" t="n"/>
      <c r="D37" s="14" t="n"/>
      <c r="E37" s="33" t="n"/>
      <c r="F37" s="16" t="n"/>
      <c r="G37" s="16" t="n"/>
      <c r="H37" s="15" t="n"/>
      <c r="I37" s="17" t="n"/>
      <c r="J37" s="18" t="n"/>
      <c r="K37" s="18" t="n"/>
      <c r="L37" s="19" t="n"/>
      <c r="M37" s="15" t="n"/>
      <c r="N37" s="20">
        <f>IF($I37&lt;&gt;"",$I37&amp;IF(OR($P37="N/A",$P37=""),""," "&amp;$P37)&amp;IF(T($K37)&lt;&gt;"",": "&amp;$K37,""),T($J37))</f>
        <v/>
      </c>
      <c r="O37" s="21">
        <f>IF($I37&lt;&gt;"",IFERROR(INDEX(RateCard[Sell Price (charged to client, per shift)],MATCH($I37,RateCard[Officer Type],0)),0),N($L37))</f>
        <v/>
      </c>
      <c r="P37" s="22">
        <f>IF($I37&lt;&gt;"",IFERROR(INDEX(RateCard[PSIRA Grade],MATCH($I37,RateCard[Officer Type],0)),"N/A"),"N/A")</f>
        <v/>
      </c>
      <c r="Q37" s="21">
        <f>IF($B37="LINE ITEM",N($H37)*N($O37)*N($M37),"")</f>
        <v/>
      </c>
      <c r="R37" s="20">
        <f>IF($B37="SECTION HEADER",$C37&amp;": "&amp;TEXT($D37,"dddd d mmmm yyyy")&amp;" - "&amp;$E37&amp;" ("&amp;TEXT($F37,"hh""h""mm")&amp;" - "&amp;TEXT($G37,"hh""h""mm")&amp;")","")</f>
        <v/>
      </c>
      <c r="S37" s="20">
        <f>IF($B37="SECTION HEADER",$R37,S36)</f>
        <v/>
      </c>
    </row>
    <row r="38" ht="25.5" customHeight="1" s="63">
      <c r="B38" s="13" t="n"/>
      <c r="C38" s="13" t="n"/>
      <c r="D38" s="14" t="n"/>
      <c r="E38" s="15" t="n"/>
      <c r="F38" s="16" t="n"/>
      <c r="G38" s="16" t="n"/>
      <c r="H38" s="15" t="n"/>
      <c r="I38" s="17" t="n"/>
      <c r="J38" s="18" t="n"/>
      <c r="K38" s="18" t="n"/>
      <c r="L38" s="19" t="n"/>
      <c r="M38" s="15" t="n"/>
      <c r="N38" s="20">
        <f>IF($I38&lt;&gt;"",$I38&amp;IF(OR($P38="N/A",$P38=""),""," "&amp;$P38)&amp;IF(T($K38)&lt;&gt;"",": "&amp;$K38,""),T($J38))</f>
        <v/>
      </c>
      <c r="O38" s="21">
        <f>IF($I38&lt;&gt;"",IFERROR(INDEX(RateCard[Sell Price (charged to client, per shift)],MATCH($I38,RateCard[Officer Type],0)),0),N($L38))</f>
        <v/>
      </c>
      <c r="P38" s="22">
        <f>IF($I38&lt;&gt;"",IFERROR(INDEX(RateCard[PSIRA Grade],MATCH($I38,RateCard[Officer Type],0)),"N/A"),"N/A")</f>
        <v/>
      </c>
      <c r="Q38" s="21">
        <f>IF($B38="LINE ITEM",N($H38)*N($O38)*N($M38),"")</f>
        <v/>
      </c>
      <c r="R38" s="20">
        <f>IF($B38="SECTION HEADER",$C38&amp;": "&amp;TEXT($D38,"dddd d mmmm yyyy")&amp;" - "&amp;$E38&amp;" ("&amp;TEXT($F38,"hh""h""mm")&amp;" - "&amp;TEXT($G38,"hh""h""mm")&amp;")","")</f>
        <v/>
      </c>
      <c r="S38" s="20">
        <f>IF($B38="SECTION HEADER",$R38,S37)</f>
        <v/>
      </c>
    </row>
    <row r="39" ht="25.5" customHeight="1" s="63">
      <c r="B39" s="13" t="n"/>
      <c r="C39" s="13" t="n"/>
      <c r="D39" s="14" t="n"/>
      <c r="E39" s="16" t="n"/>
      <c r="F39" s="16" t="n"/>
      <c r="G39" s="16" t="n"/>
      <c r="H39" s="15" t="n"/>
      <c r="I39" s="17" t="n"/>
      <c r="J39" s="18" t="n"/>
      <c r="K39" s="18" t="n"/>
      <c r="L39" s="19" t="n"/>
      <c r="M39" s="15" t="n"/>
      <c r="N39" s="20">
        <f>IF($I39&lt;&gt;"",$I39&amp;IF(OR($P39="N/A",$P39=""),""," "&amp;$P39)&amp;IF(T($K39)&lt;&gt;"",": "&amp;$K39,""),T($J39))</f>
        <v/>
      </c>
      <c r="O39" s="21">
        <f>IF($I39&lt;&gt;"",IFERROR(INDEX(RateCard[Sell Price (charged to client, per shift)],MATCH($I39,RateCard[Officer Type],0)),0),N($L39))</f>
        <v/>
      </c>
      <c r="P39" s="22">
        <f>IF($I39&lt;&gt;"",IFERROR(INDEX(RateCard[PSIRA Grade],MATCH($I39,RateCard[Officer Type],0)),"N/A"),"N/A")</f>
        <v/>
      </c>
      <c r="Q39" s="21">
        <f>IF($B39="LINE ITEM",N($H39)*N($O39)*N($M39),"")</f>
        <v/>
      </c>
      <c r="R39" s="20">
        <f>IF($B39="SECTION HEADER",$C39&amp;": "&amp;TEXT($D39,"dddd d mmmm yyyy")&amp;" - "&amp;$E39&amp;" ("&amp;TEXT($F39,"hh""h""mm")&amp;" - "&amp;TEXT($G39,"hh""h""mm")&amp;")","")</f>
        <v/>
      </c>
      <c r="S39" s="20">
        <f>IF($B39="SECTION HEADER",$R39,S38)</f>
        <v/>
      </c>
    </row>
    <row r="40" ht="25.5" customHeight="1" s="63">
      <c r="B40" s="13" t="n"/>
      <c r="C40" s="13" t="n"/>
      <c r="D40" s="14" t="n"/>
      <c r="E40" s="15" t="n"/>
      <c r="F40" s="16" t="n"/>
      <c r="G40" s="16" t="n"/>
      <c r="H40" s="15" t="n"/>
      <c r="I40" s="17" t="n"/>
      <c r="J40" s="18" t="n"/>
      <c r="K40" s="18" t="n"/>
      <c r="L40" s="19" t="n"/>
      <c r="M40" s="15" t="n"/>
      <c r="N40" s="20">
        <f>IF($I40&lt;&gt;"",$I40&amp;IF(OR($P40="N/A",$P40=""),""," "&amp;$P40)&amp;IF(T($K40)&lt;&gt;"",": "&amp;$K40,""),T($J40))</f>
        <v/>
      </c>
      <c r="O40" s="21">
        <f>IF($I40&lt;&gt;"",IFERROR(INDEX(RateCard[Sell Price (charged to client, per shift)],MATCH($I40,RateCard[Officer Type],0)),0),N($L40))</f>
        <v/>
      </c>
      <c r="P40" s="22">
        <f>IF($I40&lt;&gt;"",IFERROR(INDEX(RateCard[PSIRA Grade],MATCH($I40,RateCard[Officer Type],0)),"N/A"),"N/A")</f>
        <v/>
      </c>
      <c r="Q40" s="21">
        <f>IF($B40="LINE ITEM",N($H40)*N($O40)*N($M40),"")</f>
        <v/>
      </c>
      <c r="R40" s="20">
        <f>IF($B40="SECTION HEADER",$C40&amp;": "&amp;TEXT($D40,"dddd d mmmm yyyy")&amp;" - "&amp;$E40&amp;" ("&amp;TEXT($F40,"hh""h""mm")&amp;" - "&amp;TEXT($G40,"hh""h""mm")&amp;")","")</f>
        <v/>
      </c>
      <c r="S40" s="20">
        <f>IF($B40="SECTION HEADER",$R40,S39)</f>
        <v/>
      </c>
    </row>
    <row r="41" ht="25.5" customHeight="1" s="63">
      <c r="B41" s="13" t="n"/>
      <c r="C41" s="13" t="n"/>
      <c r="D41" s="14" t="n"/>
      <c r="E41" s="33" t="n"/>
      <c r="F41" s="16" t="n"/>
      <c r="G41" s="16" t="n"/>
      <c r="H41" s="15" t="n"/>
      <c r="I41" s="17" t="n"/>
      <c r="J41" s="18" t="n"/>
      <c r="K41" s="18" t="n"/>
      <c r="L41" s="19" t="n"/>
      <c r="M41" s="15" t="n"/>
      <c r="N41" s="20">
        <f>IF($I41&lt;&gt;"",$I41&amp;IF(OR($P41="N/A",$P41=""),""," "&amp;$P41)&amp;IF(T($K41)&lt;&gt;"",": "&amp;$K41,""),T($J41))</f>
        <v/>
      </c>
      <c r="O41" s="21">
        <f>IF($I41&lt;&gt;"",IFERROR(INDEX(RateCard[Sell Price (charged to client, per shift)],MATCH($I41,RateCard[Officer Type],0)),0),N($L41))</f>
        <v/>
      </c>
      <c r="P41" s="22">
        <f>IF($I41&lt;&gt;"",IFERROR(INDEX(RateCard[PSIRA Grade],MATCH($I41,RateCard[Officer Type],0)),"N/A"),"N/A")</f>
        <v/>
      </c>
      <c r="Q41" s="21">
        <f>IF($B41="LINE ITEM",N($H41)*N($O41)*N($M41),"")</f>
        <v/>
      </c>
      <c r="R41" s="20">
        <f>IF($B41="SECTION HEADER",$C41&amp;": "&amp;TEXT($D41,"dddd d mmmm yyyy")&amp;" - "&amp;$E41&amp;" ("&amp;TEXT($F41,"hh""h""mm")&amp;" - "&amp;TEXT($G41,"hh""h""mm")&amp;")","")</f>
        <v/>
      </c>
      <c r="S41" s="20">
        <f>IF($B41="SECTION HEADER",$R41,S40)</f>
        <v/>
      </c>
    </row>
    <row r="42" ht="25.5" customHeight="1" s="63">
      <c r="B42" s="13" t="n"/>
      <c r="C42" s="13" t="n"/>
      <c r="D42" s="14" t="n"/>
      <c r="E42" s="16" t="n"/>
      <c r="F42" s="16" t="n"/>
      <c r="G42" s="16" t="n"/>
      <c r="H42" s="15" t="n"/>
      <c r="I42" s="17" t="n"/>
      <c r="J42" s="18" t="n"/>
      <c r="K42" s="18" t="n"/>
      <c r="L42" s="19" t="n"/>
      <c r="M42" s="15" t="n"/>
      <c r="N42" s="20">
        <f>IF($I42&lt;&gt;"",$I42&amp;IF(OR($P42="N/A",$P42=""),""," "&amp;$P42)&amp;IF(T($K42)&lt;&gt;"",": "&amp;$K42,""),T($J42))</f>
        <v/>
      </c>
      <c r="O42" s="21">
        <f>IF($I42&lt;&gt;"",IFERROR(INDEX(RateCard[Sell Price (charged to client, per shift)],MATCH($I42,RateCard[Officer Type],0)),0),N($L42))</f>
        <v/>
      </c>
      <c r="P42" s="22">
        <f>IF($I42&lt;&gt;"",IFERROR(INDEX(RateCard[PSIRA Grade],MATCH($I42,RateCard[Officer Type],0)),"N/A"),"N/A")</f>
        <v/>
      </c>
      <c r="Q42" s="21">
        <f>IF($B42="LINE ITEM",N($H42)*N($O42)*N($M42),"")</f>
        <v/>
      </c>
      <c r="R42" s="20">
        <f>IF($B42="SECTION HEADER",$C42&amp;": "&amp;TEXT($D42,"dddd d mmmm yyyy")&amp;" - "&amp;$E42&amp;" ("&amp;TEXT($F42,"hh""h""mm")&amp;" - "&amp;TEXT($G42,"hh""h""mm")&amp;")","")</f>
        <v/>
      </c>
      <c r="S42" s="20">
        <f>IF($B42="SECTION HEADER",$R42,S41)</f>
        <v/>
      </c>
    </row>
    <row r="43" ht="25.5" customHeight="1" s="63">
      <c r="B43" s="13" t="n"/>
      <c r="C43" s="13" t="n"/>
      <c r="D43" s="14" t="n"/>
      <c r="E43" s="15" t="n"/>
      <c r="F43" s="16" t="n"/>
      <c r="G43" s="16" t="n"/>
      <c r="H43" s="15" t="n"/>
      <c r="I43" s="17" t="n"/>
      <c r="J43" s="18" t="n"/>
      <c r="K43" s="18" t="n"/>
      <c r="L43" s="19" t="n"/>
      <c r="M43" s="15" t="n"/>
      <c r="N43" s="20">
        <f>IF($I43&lt;&gt;"",$I43&amp;IF(OR($P43="N/A",$P43=""),""," "&amp;$P43)&amp;IF(T($K43)&lt;&gt;"",": "&amp;$K43,""),T($J43))</f>
        <v/>
      </c>
      <c r="O43" s="21">
        <f>IF($I43&lt;&gt;"",IFERROR(INDEX(RateCard[Sell Price (charged to client, per shift)],MATCH($I43,RateCard[Officer Type],0)),0),N($L43))</f>
        <v/>
      </c>
      <c r="P43" s="22">
        <f>IF($I43&lt;&gt;"",IFERROR(INDEX(RateCard[PSIRA Grade],MATCH($I43,RateCard[Officer Type],0)),"N/A"),"N/A")</f>
        <v/>
      </c>
      <c r="Q43" s="21">
        <f>IF($B43="LINE ITEM",N($H43)*N($O43)*N($M43),"")</f>
        <v/>
      </c>
      <c r="R43" s="20">
        <f>IF($B43="SECTION HEADER",$C43&amp;": "&amp;TEXT($D43,"dddd d mmmm yyyy")&amp;" - "&amp;$E43&amp;" ("&amp;TEXT($F43,"hh""h""mm")&amp;" - "&amp;TEXT($G43,"hh""h""mm")&amp;")","")</f>
        <v/>
      </c>
      <c r="S43" s="20">
        <f>IF($B43="SECTION HEADER",$R43,S42)</f>
        <v/>
      </c>
    </row>
    <row r="44" ht="25.5" customHeight="1" s="63">
      <c r="B44" s="13" t="n"/>
      <c r="C44" s="34" t="n"/>
      <c r="D44" s="14" t="n"/>
      <c r="E44" s="33" t="n"/>
      <c r="F44" s="16" t="n"/>
      <c r="G44" s="16" t="n"/>
      <c r="H44" s="15" t="n"/>
      <c r="I44" s="17" t="n"/>
      <c r="J44" s="18" t="n"/>
      <c r="K44" s="18" t="n"/>
      <c r="L44" s="19" t="n"/>
      <c r="M44" s="15" t="n"/>
      <c r="N44" s="20">
        <f>IF($I44&lt;&gt;"",$I44&amp;IF(OR($P44="N/A",$P44=""),""," "&amp;$P44)&amp;IF(T($K44)&lt;&gt;"",": "&amp;$K44,""),T($J44))</f>
        <v/>
      </c>
      <c r="O44" s="21">
        <f>IF($I44&lt;&gt;"",IFERROR(INDEX(RateCard[Sell Price (charged to client, per shift)],MATCH($I44,RateCard[Officer Type],0)),0),N($L44))</f>
        <v/>
      </c>
      <c r="P44" s="22">
        <f>IF($I44&lt;&gt;"",IFERROR(INDEX(RateCard[PSIRA Grade],MATCH($I44,RateCard[Officer Type],0)),"N/A"),"N/A")</f>
        <v/>
      </c>
      <c r="Q44" s="21">
        <f>IF($B44="LINE ITEM",N($H44)*N($O44)*N($M44),"")</f>
        <v/>
      </c>
      <c r="R44" s="20">
        <f>IF($B44="SECTION HEADER",$C44&amp;": "&amp;TEXT($D44,"dddd d mmmm yyyy")&amp;" - "&amp;$E44&amp;" ("&amp;TEXT($F44,"hh""h""mm")&amp;" - "&amp;TEXT($G44,"hh""h""mm")&amp;")","")</f>
        <v/>
      </c>
      <c r="S44" s="20">
        <f>IF($B44="SECTION HEADER",$R44,S43)</f>
        <v/>
      </c>
    </row>
    <row r="45" ht="25.5" customHeight="1" s="63">
      <c r="B45" s="13" t="n"/>
      <c r="C45" s="13" t="n"/>
      <c r="D45" s="14" t="n"/>
      <c r="E45" s="16" t="n"/>
      <c r="F45" s="16" t="n"/>
      <c r="G45" s="16" t="n"/>
      <c r="H45" s="15" t="n"/>
      <c r="I45" s="17" t="n"/>
      <c r="J45" s="18" t="n"/>
      <c r="K45" s="32" t="n"/>
      <c r="L45" s="19" t="n"/>
      <c r="M45" s="15" t="n"/>
      <c r="N45" s="20">
        <f>IF($I45&lt;&gt;"",$I45&amp;IF(OR($P45="N/A",$P45=""),""," "&amp;$P45)&amp;IF(T($K45)&lt;&gt;"",": "&amp;$K45,""),T($J45))</f>
        <v/>
      </c>
      <c r="O45" s="21">
        <f>IF($I45&lt;&gt;"",IFERROR(INDEX(RateCard[Sell Price (charged to client, per shift)],MATCH($I45,RateCard[Officer Type],0)),0),N($L45))</f>
        <v/>
      </c>
      <c r="P45" s="22">
        <f>IF($I45&lt;&gt;"",IFERROR(INDEX(RateCard[PSIRA Grade],MATCH($I45,RateCard[Officer Type],0)),"N/A"),"N/A")</f>
        <v/>
      </c>
      <c r="Q45" s="21">
        <f>IF($B45="LINE ITEM",N($H45)*N($O45)*N($M45),"")</f>
        <v/>
      </c>
      <c r="R45" s="20">
        <f>IF($B45="SECTION HEADER",$C45&amp;": "&amp;TEXT($D45,"dddd d mmmm yyyy")&amp;" - "&amp;$E45&amp;" ("&amp;TEXT($F45,"hh""h""mm")&amp;" - "&amp;TEXT($G45,"hh""h""mm")&amp;")","")</f>
        <v/>
      </c>
      <c r="S45" s="20">
        <f>IF($B45="SECTION HEADER",$R45,S44)</f>
        <v/>
      </c>
    </row>
    <row r="46" ht="25.5" customHeight="1" s="63">
      <c r="B46" s="13" t="n"/>
      <c r="C46" s="13" t="n"/>
      <c r="D46" s="14" t="n"/>
      <c r="E46" s="15" t="n"/>
      <c r="F46" s="16" t="n"/>
      <c r="G46" s="16" t="n"/>
      <c r="H46" s="15" t="n"/>
      <c r="I46" s="17" t="n"/>
      <c r="J46" s="18" t="n"/>
      <c r="K46" s="18" t="n"/>
      <c r="L46" s="19" t="n"/>
      <c r="M46" s="15" t="n"/>
      <c r="N46" s="20">
        <f>IF($I46&lt;&gt;"",$I46&amp;IF(OR($P46="N/A",$P46=""),""," "&amp;$P46)&amp;IF(T($K46)&lt;&gt;"",": "&amp;$K46,""),T($J46))</f>
        <v/>
      </c>
      <c r="O46" s="21">
        <f>IF($I46&lt;&gt;"",IFERROR(INDEX(RateCard[Sell Price (charged to client, per shift)],MATCH($I46,RateCard[Officer Type],0)),0),N($L46))</f>
        <v/>
      </c>
      <c r="P46" s="22">
        <f>IF($I46&lt;&gt;"",IFERROR(INDEX(RateCard[PSIRA Grade],MATCH($I46,RateCard[Officer Type],0)),"N/A"),"N/A")</f>
        <v/>
      </c>
      <c r="Q46" s="21">
        <f>IF($B46="LINE ITEM",N($H46)*N($O46)*N($M46),"")</f>
        <v/>
      </c>
      <c r="R46" s="20">
        <f>IF($B46="SECTION HEADER",$C46&amp;": "&amp;TEXT($D46,"dddd d mmmm yyyy")&amp;" - "&amp;$E46&amp;" ("&amp;TEXT($F46,"hh""h""mm")&amp;" - "&amp;TEXT($G46,"hh""h""mm")&amp;")","")</f>
        <v/>
      </c>
      <c r="S46" s="20">
        <f>IF($B46="SECTION HEADER",$R46,S45)</f>
        <v/>
      </c>
    </row>
    <row r="47" ht="25.5" customHeight="1" s="63">
      <c r="B47" s="13" t="n"/>
      <c r="C47" s="13" t="n"/>
      <c r="D47" s="14" t="n"/>
      <c r="E47" s="15" t="n"/>
      <c r="F47" s="16" t="n"/>
      <c r="G47" s="16" t="n"/>
      <c r="H47" s="15" t="n"/>
      <c r="I47" s="17" t="n"/>
      <c r="J47" s="18" t="n"/>
      <c r="K47" s="18" t="n"/>
      <c r="L47" s="19" t="n"/>
      <c r="M47" s="15" t="n"/>
      <c r="N47" s="20">
        <f>IF($I47&lt;&gt;"",$I47&amp;IF(OR($P47="N/A",$P47=""),""," "&amp;$P47)&amp;IF(T($K47)&lt;&gt;"",": "&amp;$K47,""),T($J47))</f>
        <v/>
      </c>
      <c r="O47" s="21">
        <f>IF($I47&lt;&gt;"",IFERROR(INDEX(RateCard[Sell Price (charged to client, per shift)],MATCH($I47,RateCard[Officer Type],0)),0),N($L47))</f>
        <v/>
      </c>
      <c r="P47" s="22">
        <f>IF($I47&lt;&gt;"",IFERROR(INDEX(RateCard[PSIRA Grade],MATCH($I47,RateCard[Officer Type],0)),"N/A"),"N/A")</f>
        <v/>
      </c>
      <c r="Q47" s="21">
        <f>IF($B47="LINE ITEM",N($H47)*N($O47)*N($M47),"")</f>
        <v/>
      </c>
      <c r="R47" s="20">
        <f>IF($B47="SECTION HEADER",$C47&amp;": "&amp;TEXT($D47,"dddd d mmmm yyyy")&amp;" - "&amp;$E47&amp;" ("&amp;TEXT($F47,"hh""h""mm")&amp;" - "&amp;TEXT($G47,"hh""h""mm")&amp;")","")</f>
        <v/>
      </c>
      <c r="S47" s="20">
        <f>IF($B47="SECTION HEADER",$R47,S46)</f>
        <v/>
      </c>
    </row>
    <row r="48" ht="25.5" customHeight="1" s="63">
      <c r="B48" s="13" t="n"/>
      <c r="C48" s="34" t="n"/>
      <c r="D48" s="14" t="n"/>
      <c r="E48" s="16" t="n"/>
      <c r="F48" s="16" t="n"/>
      <c r="G48" s="16" t="n"/>
      <c r="H48" s="15" t="n"/>
      <c r="I48" s="17" t="n"/>
      <c r="J48" s="18" t="n"/>
      <c r="K48" s="18" t="n"/>
      <c r="L48" s="19" t="n"/>
      <c r="M48" s="15" t="n"/>
      <c r="N48" s="20">
        <f>IF($I48&lt;&gt;"",$I48&amp;IF(OR($P48="N/A",$P48=""),""," "&amp;$P48)&amp;IF(T($K48)&lt;&gt;"",": "&amp;$K48,""),T($J48))</f>
        <v/>
      </c>
      <c r="O48" s="21">
        <f>IF($I48&lt;&gt;"",IFERROR(INDEX(RateCard[Sell Price (charged to client, per shift)],MATCH($I48,RateCard[Officer Type],0)),0),N($L48))</f>
        <v/>
      </c>
      <c r="P48" s="22">
        <f>IF($I48&lt;&gt;"",IFERROR(INDEX(RateCard[PSIRA Grade],MATCH($I48,RateCard[Officer Type],0)),"N/A"),"N/A")</f>
        <v/>
      </c>
      <c r="Q48" s="21">
        <f>IF($B48="LINE ITEM",N($H48)*N($O48)*N($M48),"")</f>
        <v/>
      </c>
      <c r="R48" s="20">
        <f>IF($B48="SECTION HEADER",$C48&amp;": "&amp;TEXT($D48,"dddd d mmmm yyyy")&amp;" - "&amp;$E48&amp;" ("&amp;TEXT($F48,"hh""h""mm")&amp;" - "&amp;TEXT($G48,"hh""h""mm")&amp;")","")</f>
        <v/>
      </c>
      <c r="S48" s="20">
        <f>IF($B48="SECTION HEADER",$R48,S47)</f>
        <v/>
      </c>
    </row>
    <row r="49" ht="25.5" customHeight="1" s="63">
      <c r="B49" s="13" t="n"/>
      <c r="C49" s="13" t="n"/>
      <c r="D49" s="14" t="n"/>
      <c r="E49" s="15" t="n"/>
      <c r="F49" s="16" t="n"/>
      <c r="G49" s="16" t="n"/>
      <c r="H49" s="15" t="n"/>
      <c r="I49" s="17" t="n"/>
      <c r="J49" s="18" t="n"/>
      <c r="K49" s="18" t="n"/>
      <c r="L49" s="19" t="n"/>
      <c r="M49" s="15" t="n"/>
      <c r="N49" s="20">
        <f>IF($I49&lt;&gt;"",$I49&amp;IF(OR($P49="N/A",$P49=""),""," "&amp;$P49)&amp;IF(T($K49)&lt;&gt;"",": "&amp;$K49,""),T($J49))</f>
        <v/>
      </c>
      <c r="O49" s="21">
        <f>IF($I49&lt;&gt;"",IFERROR(INDEX(RateCard[Sell Price (charged to client, per shift)],MATCH($I49,RateCard[Officer Type],0)),0),N($L49))</f>
        <v/>
      </c>
      <c r="P49" s="22">
        <f>IF($I49&lt;&gt;"",IFERROR(INDEX(RateCard[PSIRA Grade],MATCH($I49,RateCard[Officer Type],0)),"N/A"),"N/A")</f>
        <v/>
      </c>
      <c r="Q49" s="21">
        <f>IF($B49="LINE ITEM",N($H49)*N($O49)*N($M49),"")</f>
        <v/>
      </c>
      <c r="R49" s="20">
        <f>IF($B49="SECTION HEADER",$C49&amp;": "&amp;TEXT($D49,"dddd d mmmm yyyy")&amp;" - "&amp;$E49&amp;" ("&amp;TEXT($F49,"hh""h""mm")&amp;" - "&amp;TEXT($G49,"hh""h""mm")&amp;")","")</f>
        <v/>
      </c>
      <c r="S49" s="20">
        <f>IF($B49="SECTION HEADER",$R49,S48)</f>
        <v/>
      </c>
    </row>
    <row r="50" ht="25.5" customHeight="1" s="63">
      <c r="B50" s="13" t="n"/>
      <c r="C50" s="13" t="n"/>
      <c r="D50" s="14" t="n"/>
      <c r="E50" s="16" t="n"/>
      <c r="F50" s="16" t="n"/>
      <c r="G50" s="16" t="n"/>
      <c r="H50" s="15" t="n"/>
      <c r="I50" s="17" t="n"/>
      <c r="J50" s="18" t="n"/>
      <c r="K50" s="32" t="n"/>
      <c r="L50" s="19" t="n"/>
      <c r="M50" s="15" t="n"/>
      <c r="N50" s="20">
        <f>IF($I50&lt;&gt;"",$I50&amp;IF(OR($P50="N/A",$P50=""),""," "&amp;$P50)&amp;IF(T($K50)&lt;&gt;"",": "&amp;$K50,""),T($J50))</f>
        <v/>
      </c>
      <c r="O50" s="21">
        <f>IF($I50&lt;&gt;"",IFERROR(INDEX(RateCard[Sell Price (charged to client, per shift)],MATCH($I50,RateCard[Officer Type],0)),0),N($L50))</f>
        <v/>
      </c>
      <c r="P50" s="22">
        <f>IF($I50&lt;&gt;"",IFERROR(INDEX(RateCard[PSIRA Grade],MATCH($I50,RateCard[Officer Type],0)),"N/A"),"N/A")</f>
        <v/>
      </c>
      <c r="Q50" s="21">
        <f>IF($B50="LINE ITEM",N($H50)*N($O50)*N($M50),"")</f>
        <v/>
      </c>
      <c r="R50" s="20">
        <f>IF($B50="SECTION HEADER",$C50&amp;": "&amp;TEXT($D50,"dddd d mmmm yyyy")&amp;" - "&amp;$E50&amp;" ("&amp;TEXT($F50,"hh""h""mm")&amp;" - "&amp;TEXT($G50,"hh""h""mm")&amp;")","")</f>
        <v/>
      </c>
      <c r="S50" s="20">
        <f>IF($B50="SECTION HEADER",$R50,S49)</f>
        <v/>
      </c>
    </row>
    <row r="51" ht="25.5" customHeight="1" s="63">
      <c r="B51" s="13" t="n"/>
      <c r="C51" s="34" t="n"/>
      <c r="D51" s="14" t="n"/>
      <c r="E51" s="33" t="n"/>
      <c r="F51" s="16" t="n"/>
      <c r="G51" s="16" t="n"/>
      <c r="H51" s="15" t="n"/>
      <c r="I51" s="17" t="n"/>
      <c r="J51" s="18" t="n"/>
      <c r="K51" s="18" t="n"/>
      <c r="L51" s="19" t="n"/>
      <c r="M51" s="15" t="n"/>
      <c r="N51" s="20">
        <f>IF($I51&lt;&gt;"",$I51&amp;IF(OR($P51="N/A",$P51=""),""," "&amp;$P51)&amp;IF(T($K51)&lt;&gt;"",": "&amp;$K51,""),T($J51))</f>
        <v/>
      </c>
      <c r="O51" s="21">
        <f>IF($I51&lt;&gt;"",IFERROR(INDEX(RateCard[Sell Price (charged to client, per shift)],MATCH($I51,RateCard[Officer Type],0)),0),N($L51))</f>
        <v/>
      </c>
      <c r="P51" s="22">
        <f>IF($I51&lt;&gt;"",IFERROR(INDEX(RateCard[PSIRA Grade],MATCH($I51,RateCard[Officer Type],0)),"N/A"),"N/A")</f>
        <v/>
      </c>
      <c r="Q51" s="21">
        <f>IF($B51="LINE ITEM",N($H51)*N($O51)*N($M51),"")</f>
        <v/>
      </c>
      <c r="R51" s="20">
        <f>IF($B51="SECTION HEADER",$C51&amp;": "&amp;TEXT($D51,"dddd d mmmm yyyy")&amp;" - "&amp;$E51&amp;" ("&amp;TEXT($F51,"hh""h""mm")&amp;" - "&amp;TEXT($G51,"hh""h""mm")&amp;")","")</f>
        <v/>
      </c>
      <c r="S51" s="20">
        <f>IF($B51="SECTION HEADER",$R51,S50)</f>
        <v/>
      </c>
    </row>
    <row r="52" ht="25.5" customHeight="1" s="63">
      <c r="B52" s="13" t="n"/>
      <c r="C52" s="13" t="n"/>
      <c r="D52" s="14" t="n"/>
      <c r="E52" s="15" t="n"/>
      <c r="F52" s="16" t="n"/>
      <c r="G52" s="16" t="n"/>
      <c r="H52" s="15" t="n"/>
      <c r="I52" s="17" t="n"/>
      <c r="J52" s="18" t="n"/>
      <c r="K52" s="32" t="n"/>
      <c r="L52" s="19" t="n"/>
      <c r="M52" s="15" t="n"/>
      <c r="N52" s="20">
        <f>IF($I52&lt;&gt;"",$I52&amp;IF(OR($P52="N/A",$P52=""),""," "&amp;$P52)&amp;IF(T($K52)&lt;&gt;"",": "&amp;$K52,""),T($J52))</f>
        <v/>
      </c>
      <c r="O52" s="21">
        <f>IF($I52&lt;&gt;"",IFERROR(INDEX(RateCard[Sell Price (charged to client, per shift)],MATCH($I52,RateCard[Officer Type],0)),0),N($L52))</f>
        <v/>
      </c>
      <c r="P52" s="22">
        <f>IF($I52&lt;&gt;"",IFERROR(INDEX(RateCard[PSIRA Grade],MATCH($I52,RateCard[Officer Type],0)),"N/A"),"N/A")</f>
        <v/>
      </c>
      <c r="Q52" s="21">
        <f>IF($B52="LINE ITEM",N($H52)*N($O52)*N($M52),"")</f>
        <v/>
      </c>
      <c r="R52" s="20">
        <f>IF($B52="SECTION HEADER",$C52&amp;": "&amp;TEXT($D52,"dddd d mmmm yyyy")&amp;" - "&amp;$E52&amp;" ("&amp;TEXT($F52,"hh""h""mm")&amp;" - "&amp;TEXT($G52,"hh""h""mm")&amp;")","")</f>
        <v/>
      </c>
      <c r="S52" s="20">
        <f>IF($B52="SECTION HEADER",$R52,S51)</f>
        <v/>
      </c>
    </row>
    <row r="53" ht="25.5" customHeight="1" s="63">
      <c r="B53" s="13" t="n"/>
      <c r="C53" s="13" t="n"/>
      <c r="D53" s="14" t="n"/>
      <c r="E53" s="15" t="n"/>
      <c r="F53" s="16" t="n"/>
      <c r="G53" s="16" t="n"/>
      <c r="H53" s="15" t="n"/>
      <c r="I53" s="17" t="n"/>
      <c r="J53" s="18" t="n"/>
      <c r="K53" s="32" t="n"/>
      <c r="L53" s="19" t="n"/>
      <c r="M53" s="15" t="n"/>
      <c r="N53" s="20">
        <f>IF($I53&lt;&gt;"",$I53&amp;IF(OR($P53="N/A",$P53=""),""," "&amp;$P53)&amp;IF(T($K53)&lt;&gt;"",": "&amp;$K53,""),T($J53))</f>
        <v/>
      </c>
      <c r="O53" s="21">
        <f>IF($I53&lt;&gt;"",IFERROR(INDEX(RateCard[Sell Price (charged to client, per shift)],MATCH($I53,RateCard[Officer Type],0)),0),N($L53))</f>
        <v/>
      </c>
      <c r="P53" s="22">
        <f>IF($I53&lt;&gt;"",IFERROR(INDEX(RateCard[PSIRA Grade],MATCH($I53,RateCard[Officer Type],0)),"N/A"),"N/A")</f>
        <v/>
      </c>
      <c r="Q53" s="21">
        <f>IF($B53="LINE ITEM",N($H53)*N($O53)*N($M53),"")</f>
        <v/>
      </c>
      <c r="R53" s="20">
        <f>IF($B53="SECTION HEADER",$C53&amp;": "&amp;TEXT($D53,"dddd d mmmm yyyy")&amp;" - "&amp;$E53&amp;" ("&amp;TEXT($F53,"hh""h""mm")&amp;" - "&amp;TEXT($G53,"hh""h""mm")&amp;")","")</f>
        <v/>
      </c>
      <c r="S53" s="20">
        <f>IF($B53="SECTION HEADER",$R53,S52)</f>
        <v/>
      </c>
    </row>
    <row r="54" ht="25.5" customHeight="1" s="63">
      <c r="B54" s="13" t="n"/>
      <c r="C54" s="13" t="n"/>
      <c r="D54" s="31" t="n"/>
      <c r="E54" s="15" t="n"/>
      <c r="F54" s="16" t="n"/>
      <c r="G54" s="16" t="n"/>
      <c r="H54" s="15" t="n"/>
      <c r="I54" s="17" t="n"/>
      <c r="J54" s="18" t="n"/>
      <c r="K54" s="18" t="n"/>
      <c r="L54" s="19" t="n"/>
      <c r="M54" s="15" t="n"/>
      <c r="N54" s="20">
        <f>IF($I54&lt;&gt;"",$I54&amp;IF(OR($P54="N/A",$P54=""),""," "&amp;$P54)&amp;IF(T($K54)&lt;&gt;"",": "&amp;$K54,""),T($J54))</f>
        <v/>
      </c>
      <c r="O54" s="21">
        <f>IF($I54&lt;&gt;"",IFERROR(INDEX(RateCard[Sell Price (charged to client, per shift)],MATCH($I54,RateCard[Officer Type],0)),0),N($L54))</f>
        <v/>
      </c>
      <c r="P54" s="22">
        <f>IF($I54&lt;&gt;"",IFERROR(INDEX(RateCard[PSIRA Grade],MATCH($I54,RateCard[Officer Type],0)),"N/A"),"N/A")</f>
        <v/>
      </c>
      <c r="Q54" s="21">
        <f>IF($B54="LINE ITEM",N($H54)*N($O54)*N($M54),"")</f>
        <v/>
      </c>
      <c r="R54" s="20">
        <f>IF($B54="SECTION HEADER",$C54&amp;": "&amp;TEXT($D54,"dddd d mmmm yyyy")&amp;" - "&amp;$E54&amp;" ("&amp;TEXT($F54,"hh""h""mm")&amp;" - "&amp;TEXT($G54,"hh""h""mm")&amp;")","")</f>
        <v/>
      </c>
      <c r="S54" s="20">
        <f>IF($B54="SECTION HEADER",$R54,S53)</f>
        <v/>
      </c>
    </row>
    <row r="55" ht="25" customHeight="1" s="63">
      <c r="B55" s="13" t="n"/>
      <c r="C55" s="13" t="n"/>
      <c r="D55" s="14" t="n"/>
      <c r="E55" s="16" t="n"/>
      <c r="F55" s="16" t="n"/>
      <c r="G55" s="16" t="n"/>
      <c r="H55" s="15" t="n"/>
      <c r="I55" s="17" t="n"/>
      <c r="J55" s="18" t="n"/>
      <c r="K55" s="32" t="n"/>
      <c r="L55" s="19" t="n"/>
      <c r="M55" s="15" t="n"/>
      <c r="N55" s="20">
        <f>IF($I55&lt;&gt;"",$I55&amp;IF(OR($P55="N/A",$P55=""),""," "&amp;$P55)&amp;IF(T($K55)&lt;&gt;"",": "&amp;$K55,""),T($J55))</f>
        <v/>
      </c>
      <c r="O55" s="21">
        <f>IF($I55&lt;&gt;"",IFERROR(INDEX(RateCard[Sell Price (charged to client, per shift)],MATCH($I55,RateCard[Officer Type],0)),0),N($L55))</f>
        <v/>
      </c>
      <c r="P55" s="22">
        <f>IF($I55&lt;&gt;"",IFERROR(INDEX(RateCard[PSIRA Grade],MATCH($I55,RateCard[Officer Type],0)),"N/A"),"N/A")</f>
        <v/>
      </c>
      <c r="Q55" s="21">
        <f>IF($B55="LINE ITEM",N($H55)*N($O55)*N($M55),"")</f>
        <v/>
      </c>
      <c r="R55" s="20">
        <f>IF($B55="SECTION HEADER",$C55&amp;": "&amp;TEXT($D55,"dddd d mmmm yyyy")&amp;" - "&amp;$E55&amp;" ("&amp;TEXT($F55,"hh""h""mm")&amp;" - "&amp;TEXT($G55,"hh""h""mm")&amp;")","")</f>
        <v/>
      </c>
      <c r="S55" s="20">
        <f>IF($B55="SECTION HEADER",$R55,S54)</f>
        <v/>
      </c>
    </row>
    <row r="56" ht="25" customHeight="1" s="63">
      <c r="B56" s="13" t="n"/>
      <c r="C56" s="13" t="n"/>
      <c r="D56" s="14" t="n"/>
      <c r="E56" s="15" t="n"/>
      <c r="F56" s="16" t="n"/>
      <c r="G56" s="16" t="n"/>
      <c r="H56" s="15" t="n"/>
      <c r="I56" s="17" t="n"/>
      <c r="J56" s="18" t="n"/>
      <c r="K56" s="32" t="n"/>
      <c r="L56" s="19" t="n"/>
      <c r="M56" s="15" t="n"/>
      <c r="N56" s="20">
        <f>IF($I56&lt;&gt;"",$I56&amp;IF(OR($P56="N/A",$P56=""),""," "&amp;$P56)&amp;IF(T($K56)&lt;&gt;"",": "&amp;$K56,""),T($J56))</f>
        <v/>
      </c>
      <c r="O56" s="21">
        <f>IF($I56&lt;&gt;"",IFERROR(INDEX(RateCard[Sell Price (charged to client, per shift)],MATCH($I56,RateCard[Officer Type],0)),0),N($L56))</f>
        <v/>
      </c>
      <c r="P56" s="22">
        <f>IF($I56&lt;&gt;"",IFERROR(INDEX(RateCard[PSIRA Grade],MATCH($I56,RateCard[Officer Type],0)),"N/A"),"N/A")</f>
        <v/>
      </c>
      <c r="Q56" s="21">
        <f>IF($B56="LINE ITEM",N($H56)*N($O56)*N($M56),"")</f>
        <v/>
      </c>
      <c r="R56" s="20">
        <f>IF($B56="SECTION HEADER",$C56&amp;": "&amp;TEXT($D56,"dddd d mmmm yyyy")&amp;" - "&amp;$E56&amp;" ("&amp;TEXT($F56,"hh""h""mm")&amp;" - "&amp;TEXT($G56,"hh""h""mm")&amp;")","")</f>
        <v/>
      </c>
      <c r="S56" s="20">
        <f>IF($B56="SECTION HEADER",$R56,S55)</f>
        <v/>
      </c>
    </row>
    <row r="57" ht="25" customHeight="1" s="63">
      <c r="B57" s="13" t="n"/>
      <c r="C57" s="13" t="n"/>
      <c r="D57" s="31" t="n"/>
      <c r="E57" s="15" t="n"/>
      <c r="F57" s="16" t="n"/>
      <c r="G57" s="16" t="n"/>
      <c r="H57" s="15" t="n"/>
      <c r="I57" s="17" t="n"/>
      <c r="J57" s="18" t="n"/>
      <c r="K57" s="18" t="n"/>
      <c r="L57" s="19" t="n"/>
      <c r="M57" s="15" t="n"/>
      <c r="N57" s="20">
        <f>IF($I57&lt;&gt;"",$I57&amp;IF(OR($P57="N/A",$P57=""),""," "&amp;$P57)&amp;IF(T($K57)&lt;&gt;"",": "&amp;$K57,""),T($J57))</f>
        <v/>
      </c>
      <c r="O57" s="21">
        <f>IF($I57&lt;&gt;"",IFERROR(INDEX(RateCard[Sell Price (charged to client, per shift)],MATCH($I57,RateCard[Officer Type],0)),0),N($L57))</f>
        <v/>
      </c>
      <c r="P57" s="22">
        <f>IF($I57&lt;&gt;"",IFERROR(INDEX(RateCard[PSIRA Grade],MATCH($I57,RateCard[Officer Type],0)),"N/A"),"N/A")</f>
        <v/>
      </c>
      <c r="Q57" s="21">
        <f>IF($B57="LINE ITEM",N($H57)*N($O57)*N($M57),"")</f>
        <v/>
      </c>
      <c r="R57" s="20">
        <f>IF($B57="SECTION HEADER",$C57&amp;": "&amp;TEXT($D57,"dddd d mmmm yyyy")&amp;" - "&amp;$E57&amp;" ("&amp;TEXT($F57,"hh""h""mm")&amp;" - "&amp;TEXT($G57,"hh""h""mm")&amp;")","")</f>
        <v/>
      </c>
      <c r="S57" s="20">
        <f>IF($B57="SECTION HEADER",$R57,S56)</f>
        <v/>
      </c>
    </row>
    <row r="58" ht="25" customHeight="1" s="63">
      <c r="B58" s="13" t="n"/>
      <c r="C58" s="13" t="n"/>
      <c r="D58" s="14" t="n"/>
      <c r="E58" s="15" t="n"/>
      <c r="F58" s="16" t="n"/>
      <c r="G58" s="16" t="n"/>
      <c r="H58" s="15" t="n"/>
      <c r="I58" s="17" t="n"/>
      <c r="J58" s="18" t="n"/>
      <c r="K58" s="18" t="n"/>
      <c r="L58" s="19" t="n"/>
      <c r="M58" s="15" t="n"/>
      <c r="N58" s="20">
        <f>IF($I58&lt;&gt;"",$I58&amp;IF(OR($P58="N/A",$P58=""),""," "&amp;$P58)&amp;IF(T($K58)&lt;&gt;"",": "&amp;$K58,""),T($J58))</f>
        <v/>
      </c>
      <c r="O58" s="21">
        <f>IF($I58&lt;&gt;"",IFERROR(INDEX(RateCard[Sell Price (charged to client, per shift)],MATCH($I58,RateCard[Officer Type],0)),0),N($L58))</f>
        <v/>
      </c>
      <c r="P58" s="22">
        <f>IF($I58&lt;&gt;"",IFERROR(INDEX(RateCard[PSIRA Grade],MATCH($I58,RateCard[Officer Type],0)),"N/A"),"N/A")</f>
        <v/>
      </c>
      <c r="Q58" s="21">
        <f>IF($B58="LINE ITEM",N($H58)*N($O58)*N($M58),"")</f>
        <v/>
      </c>
      <c r="R58" s="20">
        <f>IF($B58="SECTION HEADER",$C58&amp;": "&amp;TEXT($D58,"dddd d mmmm yyyy")&amp;" - "&amp;$E58&amp;" ("&amp;TEXT($F58,"hh""h""mm")&amp;" - "&amp;TEXT($G58,"hh""h""mm")&amp;")","")</f>
        <v/>
      </c>
      <c r="S58" s="20">
        <f>IF($B58="SECTION HEADER",$R58,S57)</f>
        <v/>
      </c>
    </row>
    <row r="59" ht="25" customHeight="1" s="63">
      <c r="B59" s="13" t="n"/>
      <c r="C59" s="13" t="n"/>
      <c r="D59" s="14" t="n"/>
      <c r="E59" s="15" t="n"/>
      <c r="F59" s="16" t="n"/>
      <c r="G59" s="16" t="n"/>
      <c r="H59" s="15" t="n"/>
      <c r="I59" s="17" t="n"/>
      <c r="J59" s="18" t="n"/>
      <c r="K59" s="18" t="n"/>
      <c r="L59" s="19" t="n"/>
      <c r="M59" s="15" t="n"/>
      <c r="N59" s="20">
        <f>IF($I59&lt;&gt;"",$I59&amp;IF(OR($P59="N/A",$P59=""),""," "&amp;$P59)&amp;IF(T($K59)&lt;&gt;"",": "&amp;$K59,""),T($J59))</f>
        <v/>
      </c>
      <c r="O59" s="21">
        <f>IF($I59&lt;&gt;"",IFERROR(INDEX(RateCard[Sell Price (charged to client, per shift)],MATCH($I59,RateCard[Officer Type],0)),0),N($L59))</f>
        <v/>
      </c>
      <c r="P59" s="22">
        <f>IF($I59&lt;&gt;"",IFERROR(INDEX(RateCard[PSIRA Grade],MATCH($I59,RateCard[Officer Type],0)),"N/A"),"N/A")</f>
        <v/>
      </c>
      <c r="Q59" s="21">
        <f>IF($B59="LINE ITEM",N($H59)*N($O59)*N($M59),"")</f>
        <v/>
      </c>
      <c r="R59" s="20">
        <f>IF($B59="SECTION HEADER",$C59&amp;": "&amp;TEXT($D59,"dddd d mmmm yyyy")&amp;" - "&amp;$E59&amp;" ("&amp;TEXT($F59,"hh""h""mm")&amp;" - "&amp;TEXT($G59,"hh""h""mm")&amp;")","")</f>
        <v/>
      </c>
      <c r="S59" s="20">
        <f>IF($B59="SECTION HEADER",$R59,S58)</f>
        <v/>
      </c>
    </row>
    <row r="60" ht="25" customHeight="1" s="63">
      <c r="B60" s="13" t="n"/>
      <c r="C60" s="13" t="n"/>
      <c r="D60" s="14" t="n"/>
      <c r="E60" s="15" t="n"/>
      <c r="F60" s="16" t="n"/>
      <c r="G60" s="16" t="n"/>
      <c r="H60" s="15" t="n"/>
      <c r="I60" s="17" t="n"/>
      <c r="J60" s="18" t="n"/>
      <c r="K60" s="18" t="n"/>
      <c r="L60" s="19" t="n"/>
      <c r="M60" s="15" t="n"/>
      <c r="N60" s="20">
        <f>IF($I60&lt;&gt;"",$I60&amp;IF(OR($P60="N/A",$P60=""),""," "&amp;$P60)&amp;IF(T($K60)&lt;&gt;"",": "&amp;$K60,""),T($J60))</f>
        <v/>
      </c>
      <c r="O60" s="21">
        <f>IF($I60&lt;&gt;"",IFERROR(INDEX(RateCard[Sell Price (charged to client, per shift)],MATCH($I60,RateCard[Officer Type],0)),0),N($L60))</f>
        <v/>
      </c>
      <c r="P60" s="22">
        <f>IF($I60&lt;&gt;"",IFERROR(INDEX(RateCard[PSIRA Grade],MATCH($I60,RateCard[Officer Type],0)),"N/A"),"N/A")</f>
        <v/>
      </c>
      <c r="Q60" s="21">
        <f>IF($B60="LINE ITEM",N($H60)*N($O60)*N($M60),"")</f>
        <v/>
      </c>
      <c r="R60" s="20">
        <f>IF($B60="SECTION HEADER",$C60&amp;": "&amp;TEXT($D60,"dddd d mmmm yyyy")&amp;" - "&amp;$E60&amp;" ("&amp;TEXT($F60,"hh""h""mm")&amp;" - "&amp;TEXT($G60,"hh""h""mm")&amp;")","")</f>
        <v/>
      </c>
      <c r="S60" s="20">
        <f>IF($B60="SECTION HEADER",$R60,S59)</f>
        <v/>
      </c>
    </row>
    <row r="61" ht="25" customHeight="1" s="63">
      <c r="B61" s="13" t="n"/>
      <c r="C61" s="13" t="n"/>
      <c r="D61" s="14" t="n"/>
      <c r="E61" s="15" t="n"/>
      <c r="F61" s="16" t="n"/>
      <c r="G61" s="16" t="n"/>
      <c r="H61" s="15" t="n"/>
      <c r="I61" s="17" t="n"/>
      <c r="J61" s="18" t="n"/>
      <c r="K61" s="18" t="n"/>
      <c r="L61" s="19" t="n"/>
      <c r="M61" s="15" t="n"/>
      <c r="N61" s="20">
        <f>IF($I61&lt;&gt;"",$I61&amp;IF(OR($P61="N/A",$P61=""),""," "&amp;$P61)&amp;IF(T($K61)&lt;&gt;"",": "&amp;$K61,""),T($J61))</f>
        <v/>
      </c>
      <c r="O61" s="21">
        <f>IF($I61&lt;&gt;"",IFERROR(INDEX(RateCard[Sell Price (charged to client, per shift)],MATCH($I61,RateCard[Officer Type],0)),0),N($L61))</f>
        <v/>
      </c>
      <c r="P61" s="22">
        <f>IF($I61&lt;&gt;"",IFERROR(INDEX(RateCard[PSIRA Grade],MATCH($I61,RateCard[Officer Type],0)),"N/A"),"N/A")</f>
        <v/>
      </c>
      <c r="Q61" s="21">
        <f>IF($B61="LINE ITEM",N($H61)*N($O61)*N($M61),"")</f>
        <v/>
      </c>
      <c r="R61" s="20">
        <f>IF($B61="SECTION HEADER",$C61&amp;": "&amp;TEXT($D61,"dddd d mmmm yyyy")&amp;" - "&amp;$E61&amp;" ("&amp;TEXT($F61,"hh""h""mm")&amp;" - "&amp;TEXT($G61,"hh""h""mm")&amp;")","")</f>
        <v/>
      </c>
      <c r="S61" s="20">
        <f>IF($B61="SECTION HEADER",$R61,S60)</f>
        <v/>
      </c>
    </row>
    <row r="62" ht="25" customHeight="1" s="63">
      <c r="B62" s="13" t="n"/>
      <c r="C62" s="13" t="n"/>
      <c r="D62" s="14" t="n"/>
      <c r="E62" s="15" t="n"/>
      <c r="F62" s="16" t="n"/>
      <c r="G62" s="16" t="n"/>
      <c r="H62" s="15" t="n"/>
      <c r="I62" s="17" t="n"/>
      <c r="J62" s="18" t="n"/>
      <c r="K62" s="18" t="n"/>
      <c r="L62" s="19" t="n"/>
      <c r="M62" s="15" t="n"/>
      <c r="N62" s="20">
        <f>IF($I62&lt;&gt;"",$I62&amp;IF(OR($P62="N/A",$P62=""),""," "&amp;$P62)&amp;IF(T($K62)&lt;&gt;"",": "&amp;$K62,""),T($J62))</f>
        <v/>
      </c>
      <c r="O62" s="21">
        <f>IF($I62&lt;&gt;"",IFERROR(INDEX(RateCard[Sell Price (charged to client, per shift)],MATCH($I62,RateCard[Officer Type],0)),0),N($L62))</f>
        <v/>
      </c>
      <c r="P62" s="22">
        <f>IF($I62&lt;&gt;"",IFERROR(INDEX(RateCard[PSIRA Grade],MATCH($I62,RateCard[Officer Type],0)),"N/A"),"N/A")</f>
        <v/>
      </c>
      <c r="Q62" s="21">
        <f>IF($B62="LINE ITEM",N($H62)*N($O62)*N($M62),"")</f>
        <v/>
      </c>
      <c r="R62" s="20">
        <f>IF($B62="SECTION HEADER",$C62&amp;": "&amp;TEXT($D62,"dddd d mmmm yyyy")&amp;" - "&amp;$E62&amp;" ("&amp;TEXT($F62,"hh""h""mm")&amp;" - "&amp;TEXT($G62,"hh""h""mm")&amp;")","")</f>
        <v/>
      </c>
      <c r="S62" s="20">
        <f>IF($B62="SECTION HEADER",$R62,S61)</f>
        <v/>
      </c>
    </row>
    <row r="63" ht="25" customHeight="1" s="63">
      <c r="B63" s="13" t="n"/>
      <c r="C63" s="13" t="n"/>
      <c r="D63" s="14" t="n"/>
      <c r="E63" s="15" t="n"/>
      <c r="F63" s="16" t="n"/>
      <c r="G63" s="16" t="n"/>
      <c r="H63" s="15" t="n"/>
      <c r="I63" s="17" t="n"/>
      <c r="J63" s="18" t="n"/>
      <c r="K63" s="18" t="n"/>
      <c r="L63" s="19" t="n"/>
      <c r="M63" s="15" t="n"/>
      <c r="N63" s="20">
        <f>IF($I63&lt;&gt;"",$I63&amp;IF(OR($P63="N/A",$P63=""),""," "&amp;$P63)&amp;IF(T($K63)&lt;&gt;"",": "&amp;$K63,""),T($J63))</f>
        <v/>
      </c>
      <c r="O63" s="21">
        <f>IF($I63&lt;&gt;"",IFERROR(INDEX(RateCard[Sell Price (charged to client, per shift)],MATCH($I63,RateCard[Officer Type],0)),0),N($L63))</f>
        <v/>
      </c>
      <c r="P63" s="22">
        <f>IF($I63&lt;&gt;"",IFERROR(INDEX(RateCard[PSIRA Grade],MATCH($I63,RateCard[Officer Type],0)),"N/A"),"N/A")</f>
        <v/>
      </c>
      <c r="Q63" s="21">
        <f>IF($B63="LINE ITEM",N($H63)*N($O63)*N($M63),"")</f>
        <v/>
      </c>
      <c r="R63" s="20">
        <f>IF($B63="SECTION HEADER",$C63&amp;": "&amp;TEXT($D63,"dddd d mmmm yyyy")&amp;" - "&amp;$E63&amp;" ("&amp;TEXT($F63,"hh""h""mm")&amp;" - "&amp;TEXT($G63,"hh""h""mm")&amp;")","")</f>
        <v/>
      </c>
      <c r="S63" s="20">
        <f>IF($B63="SECTION HEADER",$R63,S62)</f>
        <v/>
      </c>
    </row>
    <row r="64" ht="25" customHeight="1" s="63">
      <c r="B64" s="36" t="n"/>
      <c r="C64" s="36" t="n"/>
      <c r="D64" s="37" t="n"/>
      <c r="E64" s="38" t="n"/>
      <c r="F64" s="39" t="n"/>
      <c r="G64" s="39" t="n"/>
      <c r="H64" s="38" t="n"/>
      <c r="I64" s="40" t="n"/>
      <c r="J64" s="41" t="n"/>
      <c r="K64" s="41" t="n"/>
      <c r="L64" s="42" t="n"/>
      <c r="M64" s="38" t="n"/>
      <c r="N64" s="43">
        <f>IF($I64&lt;&gt;"",$I64&amp;IF(OR($P64="N/A",$P64=""),""," "&amp;$P64)&amp;IF(T($K64)&lt;&gt;"",": "&amp;$K64,""),T($J64))</f>
        <v/>
      </c>
      <c r="O64" s="44">
        <f>IF($I64&lt;&gt;"",IFERROR(INDEX(RateCard[Sell Price (charged to client, per shift)],MATCH($I64,RateCard[Officer Type],0)),0),N($L64))</f>
        <v/>
      </c>
      <c r="P64" s="45">
        <f>IF($I64&lt;&gt;"",IFERROR(INDEX(RateCard[PSIRA Grade],MATCH($I64,RateCard[Officer Type],0)),"N/A"),"N/A")</f>
        <v/>
      </c>
      <c r="Q64" s="44">
        <f>IF($B64="LINE ITEM",N($H64)*N($O64)*N($M64),"")</f>
        <v/>
      </c>
      <c r="R64" s="43">
        <f>IF($B64="SECTION HEADER",$C64&amp;": "&amp;TEXT($D64,"dddd d mmmm yyyy")&amp;" - "&amp;$E64&amp;" ("&amp;TEXT($F64,"hh""h""mm")&amp;" - "&amp;TEXT($G64,"hh""h""mm")&amp;")","")</f>
        <v/>
      </c>
      <c r="S64" s="43">
        <f>IF($B64="SECTION HEADER",$R64,S63)</f>
        <v/>
      </c>
    </row>
    <row r="65">
      <c r="B65" s="36" t="n"/>
      <c r="C65" s="36" t="n"/>
      <c r="D65" s="37" t="n"/>
      <c r="E65" s="38" t="n"/>
      <c r="F65" s="39" t="n"/>
      <c r="G65" s="39" t="n"/>
      <c r="H65" s="38" t="n"/>
      <c r="I65" s="40" t="n"/>
      <c r="J65" s="41" t="n"/>
      <c r="K65" s="41" t="n"/>
      <c r="L65" s="42" t="n"/>
      <c r="M65" s="38" t="n"/>
      <c r="N65" s="43">
        <f>IF($I65&lt;&gt;"",$I65&amp;IF(OR($P65="N/A",$P65=""),""," "&amp;$P65)&amp;IF(T($K65)&lt;&gt;"",": "&amp;$K65,""),T($J65))</f>
        <v/>
      </c>
      <c r="O65" s="44">
        <f>IF($I65&lt;&gt;"",IFERROR(INDEX(RateCard[Sell Price (charged to client, per shift)],MATCH($I65,RateCard[Officer Type],0)),0),N($L65))</f>
        <v/>
      </c>
      <c r="P65" s="45">
        <f>IF($I65&lt;&gt;"",IFERROR(INDEX(RateCard[PSIRA Grade],MATCH($I65,RateCard[Officer Type],0)),"N/A"),"N/A")</f>
        <v/>
      </c>
      <c r="Q65" s="44">
        <f>IF($B65="LINE ITEM",N($H65)*N($O65)*N($M65),"")</f>
        <v/>
      </c>
      <c r="R65" s="43">
        <f>IF($B65="SECTION HEADER",$C65&amp;": "&amp;TEXT($D65,"dddd d mmmm yyyy")&amp;" - "&amp;$E65&amp;" ("&amp;TEXT($F65,"hh""h""mm")&amp;" - "&amp;TEXT($G65,"hh""h""mm")&amp;")","")</f>
        <v/>
      </c>
      <c r="S65" s="43">
        <f>IF($B65="SECTION HEADER",$R65,S64)</f>
        <v/>
      </c>
    </row>
    <row r="66">
      <c r="B66" s="36" t="n"/>
      <c r="C66" s="36" t="n"/>
      <c r="D66" s="37" t="n"/>
      <c r="E66" s="38" t="n"/>
      <c r="F66" s="39" t="n"/>
      <c r="G66" s="39" t="n"/>
      <c r="H66" s="38" t="n"/>
      <c r="I66" s="40" t="n"/>
      <c r="J66" s="41" t="n"/>
      <c r="K66" s="41" t="n"/>
      <c r="L66" s="42" t="n"/>
      <c r="M66" s="38" t="n"/>
      <c r="N66" s="43">
        <f>IF($I66&lt;&gt;"",$I66&amp;IF(OR($P66="N/A",$P66=""),""," "&amp;$P66)&amp;IF(T($K66)&lt;&gt;"",": "&amp;$K66,""),T($J66))</f>
        <v/>
      </c>
      <c r="O66" s="44">
        <f>IF($I66&lt;&gt;"",IFERROR(INDEX(RateCard[Sell Price (charged to client, per shift)],MATCH($I66,RateCard[Officer Type],0)),0),N($L66))</f>
        <v/>
      </c>
      <c r="P66" s="45">
        <f>IF($I66&lt;&gt;"",IFERROR(INDEX(RateCard[PSIRA Grade],MATCH($I66,RateCard[Officer Type],0)),"N/A"),"N/A")</f>
        <v/>
      </c>
      <c r="Q66" s="44">
        <f>IF($B66="LINE ITEM",N($H66)*N($O66)*N($M66),"")</f>
        <v/>
      </c>
      <c r="R66" s="43">
        <f>IF($B66="SECTION HEADER",$C66&amp;": "&amp;TEXT($D66,"dddd d mmmm yyyy")&amp;" - "&amp;$E66&amp;" ("&amp;TEXT($F66,"hh""h""mm")&amp;" - "&amp;TEXT($G66,"hh""h""mm")&amp;")","")</f>
        <v/>
      </c>
      <c r="S66" s="43">
        <f>IF($B66="SECTION HEADER",$R66,S65)</f>
        <v/>
      </c>
    </row>
    <row r="67">
      <c r="B67" s="36" t="n"/>
      <c r="C67" s="36" t="n"/>
      <c r="D67" s="37" t="n"/>
      <c r="E67" s="38" t="n"/>
      <c r="F67" s="39" t="n"/>
      <c r="G67" s="39" t="n"/>
      <c r="H67" s="38" t="n"/>
      <c r="I67" s="40" t="n"/>
      <c r="J67" s="41" t="n"/>
      <c r="K67" s="41" t="n"/>
      <c r="L67" s="42" t="n"/>
      <c r="M67" s="38" t="n"/>
      <c r="N67" s="43">
        <f>IF($I67&lt;&gt;"",$I67&amp;IF(OR($P67="N/A",$P67=""),""," "&amp;$P67)&amp;IF(T($K67)&lt;&gt;"",": "&amp;$K67,""),T($J67))</f>
        <v/>
      </c>
      <c r="O67" s="44">
        <f>IF($I67&lt;&gt;"",IFERROR(INDEX(RateCard[Sell Price (charged to client, per shift)],MATCH($I67,RateCard[Officer Type],0)),0),N($L67))</f>
        <v/>
      </c>
      <c r="P67" s="45">
        <f>IF($I67&lt;&gt;"",IFERROR(INDEX(RateCard[PSIRA Grade],MATCH($I67,RateCard[Officer Type],0)),"N/A"),"N/A")</f>
        <v/>
      </c>
      <c r="Q67" s="44">
        <f>IF($B67="LINE ITEM",N($H67)*N($O67)*N($M67),"")</f>
        <v/>
      </c>
      <c r="R67" s="43">
        <f>IF($B67="SECTION HEADER",$C67&amp;": "&amp;TEXT($D67,"dddd d mmmm yyyy")&amp;" - "&amp;$E67&amp;" ("&amp;TEXT($F67,"hh""h""mm")&amp;" - "&amp;TEXT($G67,"hh""h""mm")&amp;")","")</f>
        <v/>
      </c>
      <c r="S67" s="43">
        <f>IF($B67="SECTION HEADER",$R67,S66)</f>
        <v/>
      </c>
    </row>
    <row r="68">
      <c r="B68" s="36" t="n"/>
      <c r="C68" s="36" t="n"/>
      <c r="D68" s="37" t="n"/>
      <c r="E68" s="38" t="n"/>
      <c r="F68" s="39" t="n"/>
      <c r="G68" s="39" t="n"/>
      <c r="H68" s="38" t="n"/>
      <c r="I68" s="40" t="n"/>
      <c r="J68" s="41" t="n"/>
      <c r="K68" s="41" t="n"/>
      <c r="L68" s="42" t="n"/>
      <c r="M68" s="38" t="n"/>
      <c r="N68" s="43">
        <f>IF($I68&lt;&gt;"",$I68&amp;IF(OR($P68="N/A",$P68=""),""," "&amp;$P68)&amp;IF(T($K68)&lt;&gt;"",": "&amp;$K68,""),T($J68))</f>
        <v/>
      </c>
      <c r="O68" s="44">
        <f>IF($I68&lt;&gt;"",IFERROR(INDEX(RateCard[Sell Price (charged to client, per shift)],MATCH($I68,RateCard[Officer Type],0)),0),N($L68))</f>
        <v/>
      </c>
      <c r="P68" s="45">
        <f>IF($I68&lt;&gt;"",IFERROR(INDEX(RateCard[PSIRA Grade],MATCH($I68,RateCard[Officer Type],0)),"N/A"),"N/A")</f>
        <v/>
      </c>
      <c r="Q68" s="44">
        <f>IF($B68="LINE ITEM",N($H68)*N($O68)*N($M68),"")</f>
        <v/>
      </c>
      <c r="R68" s="43">
        <f>IF($B68="SECTION HEADER",$C68&amp;": "&amp;TEXT($D68,"dddd d mmmm yyyy")&amp;" - "&amp;$E68&amp;" ("&amp;TEXT($F68,"hh""h""mm")&amp;" - "&amp;TEXT($G68,"hh""h""mm")&amp;")","")</f>
        <v/>
      </c>
      <c r="S68" s="43">
        <f>IF($B68="SECTION HEADER",$R68,S67)</f>
        <v/>
      </c>
    </row>
    <row r="69">
      <c r="B69" s="36" t="n"/>
      <c r="C69" s="36" t="n"/>
      <c r="D69" s="37" t="n"/>
      <c r="E69" s="38" t="n"/>
      <c r="F69" s="39" t="n"/>
      <c r="G69" s="39" t="n"/>
      <c r="H69" s="38" t="n"/>
      <c r="I69" s="40" t="n"/>
      <c r="J69" s="41" t="n"/>
      <c r="K69" s="41" t="n"/>
      <c r="L69" s="42" t="n"/>
      <c r="M69" s="38" t="n"/>
      <c r="N69" s="43">
        <f>IF($I69&lt;&gt;"",$I69&amp;IF(OR($P69="N/A",$P69=""),""," "&amp;$P69)&amp;IF(T($K69)&lt;&gt;"",": "&amp;$K69,""),T($J69))</f>
        <v/>
      </c>
      <c r="O69" s="44">
        <f>IF($I69&lt;&gt;"",IFERROR(INDEX(RateCard[Sell Price (charged to client, per shift)],MATCH($I69,RateCard[Officer Type],0)),0),N($L69))</f>
        <v/>
      </c>
      <c r="P69" s="45">
        <f>IF($I69&lt;&gt;"",IFERROR(INDEX(RateCard[PSIRA Grade],MATCH($I69,RateCard[Officer Type],0)),"N/A"),"N/A")</f>
        <v/>
      </c>
      <c r="Q69" s="44">
        <f>IF($B69="LINE ITEM",N($H69)*N($O69)*N($M69),"")</f>
        <v/>
      </c>
      <c r="R69" s="43">
        <f>IF($B69="SECTION HEADER",$C69&amp;": "&amp;TEXT($D69,"dddd d mmmm yyyy")&amp;" - "&amp;$E69&amp;" ("&amp;TEXT($F69,"hh""h""mm")&amp;" - "&amp;TEXT($G69,"hh""h""mm")&amp;")","")</f>
        <v/>
      </c>
      <c r="S69" s="43">
        <f>IF($B69="SECTION HEADER",$R69,S68)</f>
        <v/>
      </c>
    </row>
    <row r="70">
      <c r="B70" s="36" t="n"/>
      <c r="C70" s="36" t="n"/>
      <c r="D70" s="37" t="n"/>
      <c r="E70" s="38" t="n"/>
      <c r="F70" s="39" t="n"/>
      <c r="G70" s="39" t="n"/>
      <c r="H70" s="38" t="n"/>
      <c r="I70" s="40" t="n"/>
      <c r="J70" s="41" t="n"/>
      <c r="K70" s="41" t="n"/>
      <c r="L70" s="42" t="n"/>
      <c r="M70" s="38" t="n"/>
      <c r="N70" s="43">
        <f>IF($I70&lt;&gt;"",$I70&amp;IF(OR($P70="N/A",$P70=""),""," "&amp;$P70)&amp;IF(T($K70)&lt;&gt;"",": "&amp;$K70,""),T($J70))</f>
        <v/>
      </c>
      <c r="O70" s="44">
        <f>IF($I70&lt;&gt;"",IFERROR(INDEX(RateCard[Sell Price (charged to client, per shift)],MATCH($I70,RateCard[Officer Type],0)),0),N($L70))</f>
        <v/>
      </c>
      <c r="P70" s="45">
        <f>IF($I70&lt;&gt;"",IFERROR(INDEX(RateCard[PSIRA Grade],MATCH($I70,RateCard[Officer Type],0)),"N/A"),"N/A")</f>
        <v/>
      </c>
      <c r="Q70" s="44">
        <f>IF($B70="LINE ITEM",N($H70)*N($O70)*N($M70),"")</f>
        <v/>
      </c>
      <c r="R70" s="43">
        <f>IF($B70="SECTION HEADER",$C70&amp;": "&amp;TEXT($D70,"dddd d mmmm yyyy")&amp;" - "&amp;$E70&amp;" ("&amp;TEXT($F70,"hh""h""mm")&amp;" - "&amp;TEXT($G70,"hh""h""mm")&amp;")","")</f>
        <v/>
      </c>
      <c r="S70" s="43">
        <f>IF($B70="SECTION HEADER",$R70,S69)</f>
        <v/>
      </c>
    </row>
    <row r="71">
      <c r="B71" s="36" t="n"/>
      <c r="C71" s="36" t="n"/>
      <c r="D71" s="37" t="n"/>
      <c r="E71" s="38" t="n"/>
      <c r="F71" s="39" t="n"/>
      <c r="G71" s="39" t="n"/>
      <c r="H71" s="38" t="n"/>
      <c r="I71" s="40" t="n"/>
      <c r="J71" s="41" t="n"/>
      <c r="K71" s="41" t="n"/>
      <c r="L71" s="42" t="n"/>
      <c r="M71" s="38" t="n"/>
      <c r="N71" s="43">
        <f>IF($I71&lt;&gt;"",$I71&amp;IF(OR($P71="N/A",$P71=""),""," "&amp;$P71)&amp;IF(T($K71)&lt;&gt;"",": "&amp;$K71,""),T($J71))</f>
        <v/>
      </c>
      <c r="O71" s="44">
        <f>IF($I71&lt;&gt;"",IFERROR(INDEX(RateCard[Sell Price (charged to client, per shift)],MATCH($I71,RateCard[Officer Type],0)),0),N($L71))</f>
        <v/>
      </c>
      <c r="P71" s="45">
        <f>IF($I71&lt;&gt;"",IFERROR(INDEX(RateCard[PSIRA Grade],MATCH($I71,RateCard[Officer Type],0)),"N/A"),"N/A")</f>
        <v/>
      </c>
      <c r="Q71" s="44">
        <f>IF($B71="LINE ITEM",N($H71)*N($O71)*N($M71),"")</f>
        <v/>
      </c>
      <c r="R71" s="43">
        <f>IF($B71="SECTION HEADER",$C71&amp;": "&amp;TEXT($D71,"dddd d mmmm yyyy")&amp;" - "&amp;$E71&amp;" ("&amp;TEXT($F71,"hh""h""mm")&amp;" - "&amp;TEXT($G71,"hh""h""mm")&amp;")","")</f>
        <v/>
      </c>
      <c r="S71" s="43">
        <f>IF($B71="SECTION HEADER",$R71,S70)</f>
        <v/>
      </c>
    </row>
    <row r="72">
      <c r="B72" s="36" t="n"/>
      <c r="C72" s="36" t="n"/>
      <c r="D72" s="37" t="n"/>
      <c r="E72" s="38" t="n"/>
      <c r="F72" s="39" t="n"/>
      <c r="G72" s="39" t="n"/>
      <c r="H72" s="38" t="n"/>
      <c r="I72" s="40" t="n"/>
      <c r="J72" s="41" t="n"/>
      <c r="K72" s="41" t="n"/>
      <c r="L72" s="42" t="n"/>
      <c r="M72" s="38" t="n"/>
      <c r="N72" s="43">
        <f>IF($I72&lt;&gt;"",$I72&amp;IF(OR($P72="N/A",$P72=""),""," "&amp;$P72)&amp;IF(T($K72)&lt;&gt;"",": "&amp;$K72,""),T($J72))</f>
        <v/>
      </c>
      <c r="O72" s="44">
        <f>IF($I72&lt;&gt;"",IFERROR(INDEX(RateCard[Sell Price (charged to client, per shift)],MATCH($I72,RateCard[Officer Type],0)),0),N($L72))</f>
        <v/>
      </c>
      <c r="P72" s="45">
        <f>IF($I72&lt;&gt;"",IFERROR(INDEX(RateCard[PSIRA Grade],MATCH($I72,RateCard[Officer Type],0)),"N/A"),"N/A")</f>
        <v/>
      </c>
      <c r="Q72" s="44">
        <f>IF($B72="LINE ITEM",N($H72)*N($O72)*N($M72),"")</f>
        <v/>
      </c>
      <c r="R72" s="43">
        <f>IF($B72="SECTION HEADER",$C72&amp;": "&amp;TEXT($D72,"dddd d mmmm yyyy")&amp;" - "&amp;$E72&amp;" ("&amp;TEXT($F72,"hh""h""mm")&amp;" - "&amp;TEXT($G72,"hh""h""mm")&amp;")","")</f>
        <v/>
      </c>
      <c r="S72" s="43">
        <f>IF($B72="SECTION HEADER",$R72,S71)</f>
        <v/>
      </c>
    </row>
    <row r="73">
      <c r="B73" s="36" t="n"/>
      <c r="C73" s="36" t="n"/>
      <c r="D73" s="37" t="n"/>
      <c r="E73" s="38" t="n"/>
      <c r="F73" s="39" t="n"/>
      <c r="G73" s="39" t="n"/>
      <c r="H73" s="38" t="n"/>
      <c r="I73" s="40" t="n"/>
      <c r="J73" s="41" t="n"/>
      <c r="K73" s="41" t="n"/>
      <c r="L73" s="42" t="n"/>
      <c r="M73" s="38" t="n"/>
      <c r="N73" s="43">
        <f>IF($I73&lt;&gt;"",$I73&amp;IF(OR($P73="N/A",$P73=""),""," "&amp;$P73)&amp;IF(T($K73)&lt;&gt;"",": "&amp;$K73,""),T($J73))</f>
        <v/>
      </c>
      <c r="O73" s="44">
        <f>IF($I73&lt;&gt;"",IFERROR(INDEX(RateCard[Sell Price (charged to client, per shift)],MATCH($I73,RateCard[Officer Type],0)),0),N($L73))</f>
        <v/>
      </c>
      <c r="P73" s="45">
        <f>IF($I73&lt;&gt;"",IFERROR(INDEX(RateCard[PSIRA Grade],MATCH($I73,RateCard[Officer Type],0)),"N/A"),"N/A")</f>
        <v/>
      </c>
      <c r="Q73" s="44">
        <f>IF($B73="LINE ITEM",N($H73)*N($O73)*N($M73),"")</f>
        <v/>
      </c>
      <c r="R73" s="43">
        <f>IF($B73="SECTION HEADER",$C73&amp;": "&amp;TEXT($D73,"dddd d mmmm yyyy")&amp;" - "&amp;$E73&amp;" ("&amp;TEXT($F73,"hh""h""mm")&amp;" - "&amp;TEXT($G73,"hh""h""mm")&amp;")","")</f>
        <v/>
      </c>
      <c r="S73" s="43">
        <f>IF($B73="SECTION HEADER",$R73,S72)</f>
        <v/>
      </c>
    </row>
    <row r="74">
      <c r="B74" s="36" t="n"/>
      <c r="C74" s="36" t="n"/>
      <c r="D74" s="37" t="n"/>
      <c r="E74" s="38" t="n"/>
      <c r="F74" s="39" t="n"/>
      <c r="G74" s="39" t="n"/>
      <c r="H74" s="38" t="n"/>
      <c r="I74" s="40" t="n"/>
      <c r="J74" s="41" t="n"/>
      <c r="K74" s="41" t="n"/>
      <c r="L74" s="42" t="n"/>
      <c r="M74" s="38" t="n"/>
      <c r="N74" s="43">
        <f>IF($I74&lt;&gt;"",$I74&amp;IF(OR($P74="N/A",$P74=""),""," "&amp;$P74)&amp;IF(T($K74)&lt;&gt;"",": "&amp;$K74,""),T($J74))</f>
        <v/>
      </c>
      <c r="O74" s="44">
        <f>IF($I74&lt;&gt;"",IFERROR(INDEX(RateCard[Sell Price (charged to client, per shift)],MATCH($I74,RateCard[Officer Type],0)),0),N($L74))</f>
        <v/>
      </c>
      <c r="P74" s="45">
        <f>IF($I74&lt;&gt;"",IFERROR(INDEX(RateCard[PSIRA Grade],MATCH($I74,RateCard[Officer Type],0)),"N/A"),"N/A")</f>
        <v/>
      </c>
      <c r="Q74" s="44">
        <f>IF($B74="LINE ITEM",N($H74)*N($O74)*N($M74),"")</f>
        <v/>
      </c>
      <c r="R74" s="43">
        <f>IF($B74="SECTION HEADER",$C74&amp;": "&amp;TEXT($D74,"dddd d mmmm yyyy")&amp;" - "&amp;$E74&amp;" ("&amp;TEXT($F74,"hh""h""mm")&amp;" - "&amp;TEXT($G74,"hh""h""mm")&amp;")","")</f>
        <v/>
      </c>
      <c r="S74" s="43">
        <f>IF($B74="SECTION HEADER",$R74,S73)</f>
        <v/>
      </c>
    </row>
    <row r="75">
      <c r="B75" s="36" t="n"/>
      <c r="C75" s="36" t="n"/>
      <c r="D75" s="37" t="n"/>
      <c r="E75" s="38" t="n"/>
      <c r="F75" s="39" t="n"/>
      <c r="G75" s="39" t="n"/>
      <c r="H75" s="38" t="n"/>
      <c r="I75" s="40" t="n"/>
      <c r="J75" s="41" t="n"/>
      <c r="K75" s="41" t="n"/>
      <c r="L75" s="42" t="n"/>
      <c r="M75" s="38" t="n"/>
      <c r="N75" s="43">
        <f>IF($I75&lt;&gt;"",$I75&amp;IF(OR($P75="N/A",$P75=""),""," "&amp;$P75)&amp;IF(T($K75)&lt;&gt;"",": "&amp;$K75,""),T($J75))</f>
        <v/>
      </c>
      <c r="O75" s="44">
        <f>IF($I75&lt;&gt;"",IFERROR(INDEX(RateCard[Sell Price (charged to client, per shift)],MATCH($I75,RateCard[Officer Type],0)),0),N($L75))</f>
        <v/>
      </c>
      <c r="P75" s="45">
        <f>IF($I75&lt;&gt;"",IFERROR(INDEX(RateCard[PSIRA Grade],MATCH($I75,RateCard[Officer Type],0)),"N/A"),"N/A")</f>
        <v/>
      </c>
      <c r="Q75" s="44">
        <f>IF($B75="LINE ITEM",N($H75)*N($O75)*N($M75),"")</f>
        <v/>
      </c>
      <c r="R75" s="43">
        <f>IF($B75="SECTION HEADER",$C75&amp;": "&amp;TEXT($D75,"dddd d mmmm yyyy")&amp;" - "&amp;$E75&amp;" ("&amp;TEXT($F75,"hh""h""mm")&amp;" - "&amp;TEXT($G75,"hh""h""mm")&amp;")","")</f>
        <v/>
      </c>
      <c r="S75" s="43">
        <f>IF($B75="SECTION HEADER",$R75,S74)</f>
        <v/>
      </c>
    </row>
    <row r="76">
      <c r="B76" s="36" t="n"/>
      <c r="C76" s="36" t="n"/>
      <c r="D76" s="37" t="n"/>
      <c r="E76" s="38" t="n"/>
      <c r="F76" s="39" t="n"/>
      <c r="G76" s="39" t="n"/>
      <c r="H76" s="38" t="n"/>
      <c r="I76" s="40" t="n"/>
      <c r="J76" s="41" t="n"/>
      <c r="K76" s="41" t="n"/>
      <c r="L76" s="42" t="n"/>
      <c r="M76" s="38" t="n"/>
      <c r="N76" s="43">
        <f>IF($I76&lt;&gt;"",$I76&amp;IF(OR($P76="N/A",$P76=""),""," "&amp;$P76)&amp;IF(T($K76)&lt;&gt;"",": "&amp;$K76,""),T($J76))</f>
        <v/>
      </c>
      <c r="O76" s="44">
        <f>IF($I76&lt;&gt;"",IFERROR(INDEX(RateCard[Sell Price (charged to client, per shift)],MATCH($I76,RateCard[Officer Type],0)),0),N($L76))</f>
        <v/>
      </c>
      <c r="P76" s="45">
        <f>IF($I76&lt;&gt;"",IFERROR(INDEX(RateCard[PSIRA Grade],MATCH($I76,RateCard[Officer Type],0)),"N/A"),"N/A")</f>
        <v/>
      </c>
      <c r="Q76" s="44">
        <f>IF($B76="LINE ITEM",N($H76)*N($O76)*N($M76),"")</f>
        <v/>
      </c>
      <c r="R76" s="43">
        <f>IF($B76="SECTION HEADER",$C76&amp;": "&amp;TEXT($D76,"dddd d mmmm yyyy")&amp;" - "&amp;$E76&amp;" ("&amp;TEXT($F76,"hh""h""mm")&amp;" - "&amp;TEXT($G76,"hh""h""mm")&amp;")","")</f>
        <v/>
      </c>
      <c r="S76" s="43">
        <f>IF($B76="SECTION HEADER",$R76,S75)</f>
        <v/>
      </c>
    </row>
    <row r="77">
      <c r="B77" s="36" t="n"/>
      <c r="C77" s="36" t="n"/>
      <c r="D77" s="37" t="n"/>
      <c r="E77" s="38" t="n"/>
      <c r="F77" s="39" t="n"/>
      <c r="G77" s="39" t="n"/>
      <c r="H77" s="38" t="n"/>
      <c r="I77" s="40" t="n"/>
      <c r="J77" s="41" t="n"/>
      <c r="K77" s="41" t="n"/>
      <c r="L77" s="42" t="n"/>
      <c r="M77" s="38" t="n"/>
      <c r="N77" s="43">
        <f>IF($I77&lt;&gt;"",$I77&amp;IF(OR($P77="N/A",$P77=""),""," "&amp;$P77)&amp;IF(T($K77)&lt;&gt;"",": "&amp;$K77,""),T($J77))</f>
        <v/>
      </c>
      <c r="O77" s="44">
        <f>IF($I77&lt;&gt;"",IFERROR(INDEX(RateCard[Sell Price (charged to client, per shift)],MATCH($I77,RateCard[Officer Type],0)),0),N($L77))</f>
        <v/>
      </c>
      <c r="P77" s="45">
        <f>IF($I77&lt;&gt;"",IFERROR(INDEX(RateCard[PSIRA Grade],MATCH($I77,RateCard[Officer Type],0)),"N/A"),"N/A")</f>
        <v/>
      </c>
      <c r="Q77" s="44">
        <f>IF($B77="LINE ITEM",N($H77)*N($O77)*N($M77),"")</f>
        <v/>
      </c>
      <c r="R77" s="43">
        <f>IF($B77="SECTION HEADER",$C77&amp;": "&amp;TEXT($D77,"dddd d mmmm yyyy")&amp;" - "&amp;$E77&amp;" ("&amp;TEXT($F77,"hh""h""mm")&amp;" - "&amp;TEXT($G77,"hh""h""mm")&amp;")","")</f>
        <v/>
      </c>
      <c r="S77" s="43">
        <f>IF($B77="SECTION HEADER",$R77,S76)</f>
        <v/>
      </c>
    </row>
    <row r="78">
      <c r="B78" s="36" t="n"/>
      <c r="C78" s="36" t="n"/>
      <c r="D78" s="37" t="n"/>
      <c r="E78" s="38" t="n"/>
      <c r="F78" s="39" t="n"/>
      <c r="G78" s="39" t="n"/>
      <c r="H78" s="38" t="n"/>
      <c r="I78" s="40" t="n"/>
      <c r="J78" s="41" t="n"/>
      <c r="K78" s="41" t="n"/>
      <c r="L78" s="42" t="n"/>
      <c r="M78" s="38" t="n"/>
      <c r="N78" s="43">
        <f>IF($I78&lt;&gt;"",$I78&amp;IF(OR($P78="N/A",$P78=""),""," "&amp;$P78)&amp;IF(T($K78)&lt;&gt;"",": "&amp;$K78,""),T($J78))</f>
        <v/>
      </c>
      <c r="O78" s="44">
        <f>IF($I78&lt;&gt;"",IFERROR(INDEX(RateCard[Sell Price (charged to client, per shift)],MATCH($I78,RateCard[Officer Type],0)),0),N($L78))</f>
        <v/>
      </c>
      <c r="P78" s="45">
        <f>IF($I78&lt;&gt;"",IFERROR(INDEX(RateCard[PSIRA Grade],MATCH($I78,RateCard[Officer Type],0)),"N/A"),"N/A")</f>
        <v/>
      </c>
      <c r="Q78" s="44">
        <f>IF($B78="LINE ITEM",N($H78)*N($O78)*N($M78),"")</f>
        <v/>
      </c>
      <c r="R78" s="43">
        <f>IF($B78="SECTION HEADER",$C78&amp;": "&amp;TEXT($D78,"dddd d mmmm yyyy")&amp;" - "&amp;$E78&amp;" ("&amp;TEXT($F78,"hh""h""mm")&amp;" - "&amp;TEXT($G78,"hh""h""mm")&amp;")","")</f>
        <v/>
      </c>
      <c r="S78" s="43">
        <f>IF($B78="SECTION HEADER",$R78,S77)</f>
        <v/>
      </c>
    </row>
    <row r="79">
      <c r="B79" s="36" t="n"/>
      <c r="C79" s="36" t="n"/>
      <c r="D79" s="37" t="n"/>
      <c r="E79" s="38" t="n"/>
      <c r="F79" s="39" t="n"/>
      <c r="G79" s="39" t="n"/>
      <c r="H79" s="38" t="n"/>
      <c r="I79" s="40" t="n"/>
      <c r="J79" s="41" t="n"/>
      <c r="K79" s="41" t="n"/>
      <c r="L79" s="42" t="n"/>
      <c r="M79" s="38" t="n"/>
      <c r="N79" s="43">
        <f>IF($I79&lt;&gt;"",$I79&amp;IF(OR($P79="N/A",$P79=""),""," "&amp;$P79)&amp;IF(T($K79)&lt;&gt;"",": "&amp;$K79,""),T($J79))</f>
        <v/>
      </c>
      <c r="O79" s="44">
        <f>IF($I79&lt;&gt;"",IFERROR(INDEX(RateCard[Sell Price (charged to client, per shift)],MATCH($I79,RateCard[Officer Type],0)),0),N($L79))</f>
        <v/>
      </c>
      <c r="P79" s="45">
        <f>IF($I79&lt;&gt;"",IFERROR(INDEX(RateCard[PSIRA Grade],MATCH($I79,RateCard[Officer Type],0)),"N/A"),"N/A")</f>
        <v/>
      </c>
      <c r="Q79" s="44">
        <f>IF($B79="LINE ITEM",N($H79)*N($O79)*N($M79),"")</f>
        <v/>
      </c>
      <c r="R79" s="43">
        <f>IF($B79="SECTION HEADER",$C79&amp;": "&amp;TEXT($D79,"dddd d mmmm yyyy")&amp;" - "&amp;$E79&amp;" ("&amp;TEXT($F79,"hh""h""mm")&amp;" - "&amp;TEXT($G79,"hh""h""mm")&amp;")","")</f>
        <v/>
      </c>
      <c r="S79" s="43">
        <f>IF($B79="SECTION HEADER",$R79,S78)</f>
        <v/>
      </c>
    </row>
    <row r="80">
      <c r="B80" s="36" t="n"/>
      <c r="C80" s="36" t="n"/>
      <c r="D80" s="37" t="n"/>
      <c r="E80" s="38" t="n"/>
      <c r="F80" s="39" t="n"/>
      <c r="G80" s="39" t="n"/>
      <c r="H80" s="38" t="n"/>
      <c r="I80" s="40" t="n"/>
      <c r="J80" s="41" t="n"/>
      <c r="K80" s="41" t="n"/>
      <c r="L80" s="42" t="n"/>
      <c r="M80" s="38" t="n"/>
      <c r="N80" s="43">
        <f>IF($I80&lt;&gt;"",$I80&amp;IF(OR($P80="N/A",$P80=""),""," "&amp;$P80)&amp;IF(T($K80)&lt;&gt;"",": "&amp;$K80,""),T($J80))</f>
        <v/>
      </c>
      <c r="O80" s="44">
        <f>IF($I80&lt;&gt;"",IFERROR(INDEX(RateCard[Sell Price (charged to client, per shift)],MATCH($I80,RateCard[Officer Type],0)),0),N($L80))</f>
        <v/>
      </c>
      <c r="P80" s="45">
        <f>IF($I80&lt;&gt;"",IFERROR(INDEX(RateCard[PSIRA Grade],MATCH($I80,RateCard[Officer Type],0)),"N/A"),"N/A")</f>
        <v/>
      </c>
      <c r="Q80" s="44">
        <f>IF($B80="LINE ITEM",N($H80)*N($O80)*N($M80),"")</f>
        <v/>
      </c>
      <c r="R80" s="43">
        <f>IF($B80="SECTION HEADER",$C80&amp;": "&amp;TEXT($D80,"dddd d mmmm yyyy")&amp;" - "&amp;$E80&amp;" ("&amp;TEXT($F80,"hh""h""mm")&amp;" - "&amp;TEXT($G80,"hh""h""mm")&amp;")","")</f>
        <v/>
      </c>
      <c r="S80" s="43">
        <f>IF($B80="SECTION HEADER",$R80,S79)</f>
        <v/>
      </c>
    </row>
    <row r="81">
      <c r="B81" s="36" t="n"/>
      <c r="C81" s="36" t="n"/>
      <c r="D81" s="37" t="n"/>
      <c r="E81" s="38" t="n"/>
      <c r="F81" s="39" t="n"/>
      <c r="G81" s="39" t="n"/>
      <c r="H81" s="38" t="n"/>
      <c r="I81" s="40" t="n"/>
      <c r="J81" s="41" t="n"/>
      <c r="K81" s="41" t="n"/>
      <c r="L81" s="42" t="n"/>
      <c r="M81" s="38" t="n"/>
      <c r="N81" s="43">
        <f>IF($I81&lt;&gt;"",$I81&amp;IF(OR($P81="N/A",$P81=""),""," "&amp;$P81)&amp;IF(T($K81)&lt;&gt;"",": "&amp;$K81,""),T($J81))</f>
        <v/>
      </c>
      <c r="O81" s="44">
        <f>IF($I81&lt;&gt;"",IFERROR(INDEX(RateCard[Sell Price (charged to client, per shift)],MATCH($I81,RateCard[Officer Type],0)),0),N($L81))</f>
        <v/>
      </c>
      <c r="P81" s="45">
        <f>IF($I81&lt;&gt;"",IFERROR(INDEX(RateCard[PSIRA Grade],MATCH($I81,RateCard[Officer Type],0)),"N/A"),"N/A")</f>
        <v/>
      </c>
      <c r="Q81" s="44">
        <f>IF($B81="LINE ITEM",N($H81)*N($O81)*N($M81),"")</f>
        <v/>
      </c>
      <c r="R81" s="43">
        <f>IF($B81="SECTION HEADER",$C81&amp;": "&amp;TEXT($D81,"dddd d mmmm yyyy")&amp;" - "&amp;$E81&amp;" ("&amp;TEXT($F81,"hh""h""mm")&amp;" - "&amp;TEXT($G81,"hh""h""mm")&amp;")","")</f>
        <v/>
      </c>
      <c r="S81" s="43">
        <f>IF($B81="SECTION HEADER",$R81,S80)</f>
        <v/>
      </c>
    </row>
    <row r="82">
      <c r="B82" s="36" t="n"/>
      <c r="C82" s="36" t="n"/>
      <c r="D82" s="37" t="n"/>
      <c r="E82" s="38" t="n"/>
      <c r="F82" s="39" t="n"/>
      <c r="G82" s="39" t="n"/>
      <c r="H82" s="38" t="n"/>
      <c r="I82" s="40" t="n"/>
      <c r="J82" s="41" t="n"/>
      <c r="K82" s="41" t="n"/>
      <c r="L82" s="42" t="n"/>
      <c r="M82" s="38" t="n"/>
      <c r="N82" s="43">
        <f>IF($I82&lt;&gt;"",$I82&amp;IF(OR($P82="N/A",$P82=""),""," "&amp;$P82)&amp;IF(T($K82)&lt;&gt;"",": "&amp;$K82,""),T($J82))</f>
        <v/>
      </c>
      <c r="O82" s="44">
        <f>IF($I82&lt;&gt;"",IFERROR(INDEX(RateCard[Sell Price (charged to client, per shift)],MATCH($I82,RateCard[Officer Type],0)),0),N($L82))</f>
        <v/>
      </c>
      <c r="P82" s="45">
        <f>IF($I82&lt;&gt;"",IFERROR(INDEX(RateCard[PSIRA Grade],MATCH($I82,RateCard[Officer Type],0)),"N/A"),"N/A")</f>
        <v/>
      </c>
      <c r="Q82" s="44">
        <f>IF($B82="LINE ITEM",N($H82)*N($O82)*N($M82),"")</f>
        <v/>
      </c>
      <c r="R82" s="43">
        <f>IF($B82="SECTION HEADER",$C82&amp;": "&amp;TEXT($D82,"dddd d mmmm yyyy")&amp;" - "&amp;$E82&amp;" ("&amp;TEXT($F82,"hh""h""mm")&amp;" - "&amp;TEXT($G82,"hh""h""mm")&amp;")","")</f>
        <v/>
      </c>
      <c r="S82" s="43">
        <f>IF($B82="SECTION HEADER",$R82,S81)</f>
        <v/>
      </c>
    </row>
    <row r="83">
      <c r="B83" s="36" t="n"/>
      <c r="C83" s="36" t="n"/>
      <c r="D83" s="37" t="n"/>
      <c r="E83" s="38" t="n"/>
      <c r="F83" s="39" t="n"/>
      <c r="G83" s="39" t="n"/>
      <c r="H83" s="38" t="n"/>
      <c r="I83" s="40" t="n"/>
      <c r="J83" s="41" t="n"/>
      <c r="K83" s="41" t="n"/>
      <c r="L83" s="42" t="n"/>
      <c r="M83" s="38" t="n"/>
      <c r="N83" s="43">
        <f>IF($I83&lt;&gt;"",$I83&amp;IF(OR($P83="N/A",$P83=""),""," "&amp;$P83)&amp;IF(T($K83)&lt;&gt;"",": "&amp;$K83,""),T($J83))</f>
        <v/>
      </c>
      <c r="O83" s="44">
        <f>IF($I83&lt;&gt;"",IFERROR(INDEX(RateCard[Sell Price (charged to client, per shift)],MATCH($I83,RateCard[Officer Type],0)),0),N($L83))</f>
        <v/>
      </c>
      <c r="P83" s="45">
        <f>IF($I83&lt;&gt;"",IFERROR(INDEX(RateCard[PSIRA Grade],MATCH($I83,RateCard[Officer Type],0)),"N/A"),"N/A")</f>
        <v/>
      </c>
      <c r="Q83" s="44">
        <f>IF($B83="LINE ITEM",N($H83)*N($O83)*N($M83),"")</f>
        <v/>
      </c>
      <c r="R83" s="43">
        <f>IF($B83="SECTION HEADER",$C83&amp;": "&amp;TEXT($D83,"dddd d mmmm yyyy")&amp;" - "&amp;$E83&amp;" ("&amp;TEXT($F83,"hh""h""mm")&amp;" - "&amp;TEXT($G83,"hh""h""mm")&amp;")","")</f>
        <v/>
      </c>
      <c r="S83" s="43">
        <f>IF($B83="SECTION HEADER",$R83,S82)</f>
        <v/>
      </c>
    </row>
    <row r="84">
      <c r="B84" s="36" t="n"/>
      <c r="C84" s="36" t="n"/>
      <c r="D84" s="37" t="n"/>
      <c r="E84" s="38" t="n"/>
      <c r="F84" s="39" t="n"/>
      <c r="G84" s="39" t="n"/>
      <c r="H84" s="38" t="n"/>
      <c r="I84" s="40" t="n"/>
      <c r="J84" s="41" t="n"/>
      <c r="K84" s="41" t="n"/>
      <c r="L84" s="42" t="n"/>
      <c r="M84" s="38" t="n"/>
      <c r="N84" s="43">
        <f>IF($I84&lt;&gt;"",$I84&amp;IF(OR($P84="N/A",$P84=""),""," "&amp;$P84)&amp;IF(T($K84)&lt;&gt;"",": "&amp;$K84,""),T($J84))</f>
        <v/>
      </c>
      <c r="O84" s="44">
        <f>IF($I84&lt;&gt;"",IFERROR(INDEX(RateCard[Sell Price (charged to client, per shift)],MATCH($I84,RateCard[Officer Type],0)),0),N($L84))</f>
        <v/>
      </c>
      <c r="P84" s="45">
        <f>IF($I84&lt;&gt;"",IFERROR(INDEX(RateCard[PSIRA Grade],MATCH($I84,RateCard[Officer Type],0)),"N/A"),"N/A")</f>
        <v/>
      </c>
      <c r="Q84" s="44">
        <f>IF($B84="LINE ITEM",N($H84)*N($O84)*N($M84),"")</f>
        <v/>
      </c>
      <c r="R84" s="43">
        <f>IF($B84="SECTION HEADER",$C84&amp;": "&amp;TEXT($D84,"dddd d mmmm yyyy")&amp;" - "&amp;$E84&amp;" ("&amp;TEXT($F84,"hh""h""mm")&amp;" - "&amp;TEXT($G84,"hh""h""mm")&amp;")","")</f>
        <v/>
      </c>
      <c r="S84" s="43">
        <f>IF($B84="SECTION HEADER",$R84,S83)</f>
        <v/>
      </c>
    </row>
    <row r="85">
      <c r="B85" s="36" t="n"/>
      <c r="C85" s="36" t="n"/>
      <c r="D85" s="37" t="n"/>
      <c r="E85" s="38" t="n"/>
      <c r="F85" s="39" t="n"/>
      <c r="G85" s="39" t="n"/>
      <c r="H85" s="38" t="n"/>
      <c r="I85" s="40" t="n"/>
      <c r="J85" s="41" t="n"/>
      <c r="K85" s="41" t="n"/>
      <c r="L85" s="42" t="n"/>
      <c r="M85" s="38" t="n"/>
      <c r="N85" s="43">
        <f>IF($I85&lt;&gt;"",$I85&amp;IF(OR($P85="N/A",$P85=""),""," "&amp;$P85)&amp;IF(T($K85)&lt;&gt;"",": "&amp;$K85,""),T($J85))</f>
        <v/>
      </c>
      <c r="O85" s="44">
        <f>IF($I85&lt;&gt;"",IFERROR(INDEX(RateCard[Sell Price (charged to client, per shift)],MATCH($I85,RateCard[Officer Type],0)),0),N($L85))</f>
        <v/>
      </c>
      <c r="P85" s="45">
        <f>IF($I85&lt;&gt;"",IFERROR(INDEX(RateCard[PSIRA Grade],MATCH($I85,RateCard[Officer Type],0)),"N/A"),"N/A")</f>
        <v/>
      </c>
      <c r="Q85" s="44">
        <f>IF($B85="LINE ITEM",N($H85)*N($O85)*N($M85),"")</f>
        <v/>
      </c>
      <c r="R85" s="43">
        <f>IF($B85="SECTION HEADER",$C85&amp;": "&amp;TEXT($D85,"dddd d mmmm yyyy")&amp;" - "&amp;$E85&amp;" ("&amp;TEXT($F85,"hh""h""mm")&amp;" - "&amp;TEXT($G85,"hh""h""mm")&amp;")","")</f>
        <v/>
      </c>
      <c r="S85" s="43">
        <f>IF($B85="SECTION HEADER",$R85,S84)</f>
        <v/>
      </c>
    </row>
    <row r="86">
      <c r="B86" s="36" t="n"/>
      <c r="C86" s="36" t="n"/>
      <c r="D86" s="37" t="n"/>
      <c r="E86" s="38" t="n"/>
      <c r="F86" s="39" t="n"/>
      <c r="G86" s="39" t="n"/>
      <c r="H86" s="38" t="n"/>
      <c r="I86" s="40" t="n"/>
      <c r="J86" s="41" t="n"/>
      <c r="K86" s="41" t="n"/>
      <c r="L86" s="42" t="n"/>
      <c r="M86" s="38" t="n"/>
      <c r="N86" s="43">
        <f>IF($I86&lt;&gt;"",$I86&amp;IF(OR($P86="N/A",$P86=""),""," "&amp;$P86)&amp;IF(T($K86)&lt;&gt;"",": "&amp;$K86,""),T($J86))</f>
        <v/>
      </c>
      <c r="O86" s="44">
        <f>IF($I86&lt;&gt;"",IFERROR(INDEX(RateCard[Sell Price (charged to client, per shift)],MATCH($I86,RateCard[Officer Type],0)),0),N($L86))</f>
        <v/>
      </c>
      <c r="P86" s="45">
        <f>IF($I86&lt;&gt;"",IFERROR(INDEX(RateCard[PSIRA Grade],MATCH($I86,RateCard[Officer Type],0)),"N/A"),"N/A")</f>
        <v/>
      </c>
      <c r="Q86" s="44">
        <f>IF($B86="LINE ITEM",N($H86)*N($O86)*N($M86),"")</f>
        <v/>
      </c>
      <c r="R86" s="43">
        <f>IF($B86="SECTION HEADER",$C86&amp;": "&amp;TEXT($D86,"dddd d mmmm yyyy")&amp;" - "&amp;$E86&amp;" ("&amp;TEXT($F86,"hh""h""mm")&amp;" - "&amp;TEXT($G86,"hh""h""mm")&amp;")","")</f>
        <v/>
      </c>
      <c r="S86" s="43">
        <f>IF($B86="SECTION HEADER",$R86,S85)</f>
        <v/>
      </c>
    </row>
    <row r="87">
      <c r="B87" s="36" t="n"/>
      <c r="C87" s="36" t="n"/>
      <c r="D87" s="37" t="n"/>
      <c r="E87" s="38" t="n"/>
      <c r="F87" s="39" t="n"/>
      <c r="G87" s="39" t="n"/>
      <c r="H87" s="38" t="n"/>
      <c r="I87" s="40" t="n"/>
      <c r="J87" s="41" t="n"/>
      <c r="K87" s="41" t="n"/>
      <c r="L87" s="42" t="n"/>
      <c r="M87" s="38" t="n"/>
      <c r="N87" s="43">
        <f>IF($I87&lt;&gt;"",$I87&amp;IF(OR($P87="N/A",$P87=""),""," "&amp;$P87)&amp;IF(T($K87)&lt;&gt;"",": "&amp;$K87,""),T($J87))</f>
        <v/>
      </c>
      <c r="O87" s="44">
        <f>IF($I87&lt;&gt;"",IFERROR(INDEX(RateCard[Sell Price (charged to client, per shift)],MATCH($I87,RateCard[Officer Type],0)),0),N($L87))</f>
        <v/>
      </c>
      <c r="P87" s="45">
        <f>IF($I87&lt;&gt;"",IFERROR(INDEX(RateCard[PSIRA Grade],MATCH($I87,RateCard[Officer Type],0)),"N/A"),"N/A")</f>
        <v/>
      </c>
      <c r="Q87" s="44">
        <f>IF($B87="LINE ITEM",N($H87)*N($O87)*N($M87),"")</f>
        <v/>
      </c>
      <c r="R87" s="43">
        <f>IF($B87="SECTION HEADER",$C87&amp;": "&amp;TEXT($D87,"dddd d mmmm yyyy")&amp;" - "&amp;$E87&amp;" ("&amp;TEXT($F87,"hh""h""mm")&amp;" - "&amp;TEXT($G87,"hh""h""mm")&amp;")","")</f>
        <v/>
      </c>
      <c r="S87" s="43">
        <f>IF($B87="SECTION HEADER",$R87,S86)</f>
        <v/>
      </c>
    </row>
    <row r="88">
      <c r="B88" s="36" t="n"/>
      <c r="C88" s="36" t="n"/>
      <c r="D88" s="37" t="n"/>
      <c r="E88" s="38" t="n"/>
      <c r="F88" s="39" t="n"/>
      <c r="G88" s="39" t="n"/>
      <c r="H88" s="38" t="n"/>
      <c r="I88" s="40" t="n"/>
      <c r="J88" s="41" t="n"/>
      <c r="K88" s="41" t="n"/>
      <c r="L88" s="42" t="n"/>
      <c r="M88" s="38" t="n"/>
      <c r="N88" s="43">
        <f>IF($I88&lt;&gt;"",$I88&amp;IF(OR($P88="N/A",$P88=""),""," "&amp;$P88)&amp;IF(T($K88)&lt;&gt;"",": "&amp;$K88,""),T($J88))</f>
        <v/>
      </c>
      <c r="O88" s="44">
        <f>IF($I88&lt;&gt;"",IFERROR(INDEX(RateCard[Sell Price (charged to client, per shift)],MATCH($I88,RateCard[Officer Type],0)),0),N($L88))</f>
        <v/>
      </c>
      <c r="P88" s="45">
        <f>IF($I88&lt;&gt;"",IFERROR(INDEX(RateCard[PSIRA Grade],MATCH($I88,RateCard[Officer Type],0)),"N/A"),"N/A")</f>
        <v/>
      </c>
      <c r="Q88" s="44">
        <f>IF($B88="LINE ITEM",N($H88)*N($O88)*N($M88),"")</f>
        <v/>
      </c>
      <c r="R88" s="43">
        <f>IF($B88="SECTION HEADER",$C88&amp;": "&amp;TEXT($D88,"dddd d mmmm yyyy")&amp;" - "&amp;$E88&amp;" ("&amp;TEXT($F88,"hh""h""mm")&amp;" - "&amp;TEXT($G88,"hh""h""mm")&amp;")","")</f>
        <v/>
      </c>
      <c r="S88" s="43">
        <f>IF($B88="SECTION HEADER",$R88,S87)</f>
        <v/>
      </c>
    </row>
    <row r="89">
      <c r="B89" s="36" t="n"/>
      <c r="C89" s="36" t="n"/>
      <c r="D89" s="37" t="n"/>
      <c r="E89" s="38" t="n"/>
      <c r="F89" s="39" t="n"/>
      <c r="G89" s="39" t="n"/>
      <c r="H89" s="38" t="n"/>
      <c r="I89" s="40" t="n"/>
      <c r="J89" s="41" t="n"/>
      <c r="K89" s="41" t="n"/>
      <c r="L89" s="42" t="n"/>
      <c r="M89" s="38" t="n"/>
      <c r="N89" s="43">
        <f>IF($I89&lt;&gt;"",$I89&amp;IF(OR($P89="N/A",$P89=""),""," "&amp;$P89)&amp;IF(T($K89)&lt;&gt;"",": "&amp;$K89,""),T($J89))</f>
        <v/>
      </c>
      <c r="O89" s="44">
        <f>IF($I89&lt;&gt;"",IFERROR(INDEX(RateCard[Sell Price (charged to client, per shift)],MATCH($I89,RateCard[Officer Type],0)),0),N($L89))</f>
        <v/>
      </c>
      <c r="P89" s="45">
        <f>IF($I89&lt;&gt;"",IFERROR(INDEX(RateCard[PSIRA Grade],MATCH($I89,RateCard[Officer Type],0)),"N/A"),"N/A")</f>
        <v/>
      </c>
      <c r="Q89" s="44">
        <f>IF($B89="LINE ITEM",N($H89)*N($O89)*N($M89),"")</f>
        <v/>
      </c>
      <c r="R89" s="43">
        <f>IF($B89="SECTION HEADER",$C89&amp;": "&amp;TEXT($D89,"dddd d mmmm yyyy")&amp;" - "&amp;$E89&amp;" ("&amp;TEXT($F89,"hh""h""mm")&amp;" - "&amp;TEXT($G89,"hh""h""mm")&amp;")","")</f>
        <v/>
      </c>
      <c r="S89" s="43">
        <f>IF($B89="SECTION HEADER",$R89,S88)</f>
        <v/>
      </c>
    </row>
    <row r="90">
      <c r="B90" s="36" t="n"/>
      <c r="C90" s="36" t="n"/>
      <c r="D90" s="37" t="n"/>
      <c r="E90" s="38" t="n"/>
      <c r="F90" s="39" t="n"/>
      <c r="G90" s="39" t="n"/>
      <c r="H90" s="38" t="n"/>
      <c r="I90" s="40" t="n"/>
      <c r="J90" s="41" t="n"/>
      <c r="K90" s="41" t="n"/>
      <c r="L90" s="42" t="n"/>
      <c r="M90" s="38" t="n"/>
      <c r="N90" s="43">
        <f>IF($I90&lt;&gt;"",$I90&amp;IF(OR($P90="N/A",$P90=""),""," "&amp;$P90)&amp;IF(T($K90)&lt;&gt;"",": "&amp;$K90,""),T($J90))</f>
        <v/>
      </c>
      <c r="O90" s="44">
        <f>IF($I90&lt;&gt;"",IFERROR(INDEX(RateCard[Sell Price (charged to client, per shift)],MATCH($I90,RateCard[Officer Type],0)),0),N($L90))</f>
        <v/>
      </c>
      <c r="P90" s="45">
        <f>IF($I90&lt;&gt;"",IFERROR(INDEX(RateCard[PSIRA Grade],MATCH($I90,RateCard[Officer Type],0)),"N/A"),"N/A")</f>
        <v/>
      </c>
      <c r="Q90" s="44">
        <f>IF($B90="LINE ITEM",N($H90)*N($O90)*N($M90),"")</f>
        <v/>
      </c>
      <c r="R90" s="43">
        <f>IF($B90="SECTION HEADER",$C90&amp;": "&amp;TEXT($D90,"dddd d mmmm yyyy")&amp;" - "&amp;$E90&amp;" ("&amp;TEXT($F90,"hh""h""mm")&amp;" - "&amp;TEXT($G90,"hh""h""mm")&amp;")","")</f>
        <v/>
      </c>
      <c r="S90" s="43">
        <f>IF($B90="SECTION HEADER",$R90,S89)</f>
        <v/>
      </c>
    </row>
    <row r="91">
      <c r="B91" s="36" t="n"/>
      <c r="C91" s="36" t="n"/>
      <c r="D91" s="37" t="n"/>
      <c r="E91" s="38" t="n"/>
      <c r="F91" s="39" t="n"/>
      <c r="G91" s="39" t="n"/>
      <c r="H91" s="38" t="n"/>
      <c r="I91" s="40" t="n"/>
      <c r="J91" s="41" t="n"/>
      <c r="K91" s="41" t="n"/>
      <c r="L91" s="42" t="n"/>
      <c r="M91" s="38" t="n"/>
      <c r="N91" s="43">
        <f>IF($I91&lt;&gt;"",$I91&amp;IF(OR($P91="N/A",$P91=""),""," "&amp;$P91)&amp;IF(T($K91)&lt;&gt;"",": "&amp;$K91,""),T($J91))</f>
        <v/>
      </c>
      <c r="O91" s="44">
        <f>IF($I91&lt;&gt;"",IFERROR(INDEX(RateCard[Sell Price (charged to client, per shift)],MATCH($I91,RateCard[Officer Type],0)),0),N($L91))</f>
        <v/>
      </c>
      <c r="P91" s="45">
        <f>IF($I91&lt;&gt;"",IFERROR(INDEX(RateCard[PSIRA Grade],MATCH($I91,RateCard[Officer Type],0)),"N/A"),"N/A")</f>
        <v/>
      </c>
      <c r="Q91" s="44">
        <f>IF($B91="LINE ITEM",N($H91)*N($O91)*N($M91),"")</f>
        <v/>
      </c>
      <c r="R91" s="43">
        <f>IF($B91="SECTION HEADER",$C91&amp;": "&amp;TEXT($D91,"dddd d mmmm yyyy")&amp;" - "&amp;$E91&amp;" ("&amp;TEXT($F91,"hh""h""mm")&amp;" - "&amp;TEXT($G91,"hh""h""mm")&amp;")","")</f>
        <v/>
      </c>
      <c r="S91" s="43">
        <f>IF($B91="SECTION HEADER",$R91,S90)</f>
        <v/>
      </c>
    </row>
    <row r="92">
      <c r="B92" s="36" t="n"/>
      <c r="C92" s="36" t="n"/>
      <c r="D92" s="37" t="n"/>
      <c r="E92" s="38" t="n"/>
      <c r="F92" s="39" t="n"/>
      <c r="G92" s="39" t="n"/>
      <c r="H92" s="38" t="n"/>
      <c r="I92" s="40" t="n"/>
      <c r="J92" s="41" t="n"/>
      <c r="K92" s="41" t="n"/>
      <c r="L92" s="42" t="n"/>
      <c r="M92" s="38" t="n"/>
      <c r="N92" s="43">
        <f>IF($I92&lt;&gt;"",$I92&amp;IF(OR($P92="N/A",$P92=""),""," "&amp;$P92)&amp;IF(T($K92)&lt;&gt;"",": "&amp;$K92,""),T($J92))</f>
        <v/>
      </c>
      <c r="O92" s="44">
        <f>IF($I92&lt;&gt;"",IFERROR(INDEX(RateCard[Sell Price (charged to client, per shift)],MATCH($I92,RateCard[Officer Type],0)),0),N($L92))</f>
        <v/>
      </c>
      <c r="P92" s="45">
        <f>IF($I92&lt;&gt;"",IFERROR(INDEX(RateCard[PSIRA Grade],MATCH($I92,RateCard[Officer Type],0)),"N/A"),"N/A")</f>
        <v/>
      </c>
      <c r="Q92" s="44">
        <f>IF($B92="LINE ITEM",N($H92)*N($O92)*N($M92),"")</f>
        <v/>
      </c>
      <c r="R92" s="43">
        <f>IF($B92="SECTION HEADER",$C92&amp;": "&amp;TEXT($D92,"dddd d mmmm yyyy")&amp;" - "&amp;$E92&amp;" ("&amp;TEXT($F92,"hh""h""mm")&amp;" - "&amp;TEXT($G92,"hh""h""mm")&amp;")","")</f>
        <v/>
      </c>
      <c r="S92" s="43">
        <f>IF($B92="SECTION HEADER",$R92,S91)</f>
        <v/>
      </c>
    </row>
    <row r="93">
      <c r="B93" s="36" t="n"/>
      <c r="C93" s="36" t="n"/>
      <c r="D93" s="37" t="n"/>
      <c r="E93" s="38" t="n"/>
      <c r="F93" s="39" t="n"/>
      <c r="G93" s="39" t="n"/>
      <c r="H93" s="38" t="n"/>
      <c r="I93" s="40" t="n"/>
      <c r="J93" s="41" t="n"/>
      <c r="K93" s="41" t="n"/>
      <c r="L93" s="42" t="n"/>
      <c r="M93" s="38" t="n"/>
      <c r="N93" s="43">
        <f>IF($I93&lt;&gt;"",$I93&amp;IF(OR($P93="N/A",$P93=""),""," "&amp;$P93)&amp;IF(T($K93)&lt;&gt;"",": "&amp;$K93,""),T($J93))</f>
        <v/>
      </c>
      <c r="O93" s="44">
        <f>IF($I93&lt;&gt;"",IFERROR(INDEX(RateCard[Sell Price (charged to client, per shift)],MATCH($I93,RateCard[Officer Type],0)),0),N($L93))</f>
        <v/>
      </c>
      <c r="P93" s="45">
        <f>IF($I93&lt;&gt;"",IFERROR(INDEX(RateCard[PSIRA Grade],MATCH($I93,RateCard[Officer Type],0)),"N/A"),"N/A")</f>
        <v/>
      </c>
      <c r="Q93" s="44">
        <f>IF($B93="LINE ITEM",N($H93)*N($O93)*N($M93),"")</f>
        <v/>
      </c>
      <c r="R93" s="43">
        <f>IF($B93="SECTION HEADER",$C93&amp;": "&amp;TEXT($D93,"dddd d mmmm yyyy")&amp;" - "&amp;$E93&amp;" ("&amp;TEXT($F93,"hh""h""mm")&amp;" - "&amp;TEXT($G93,"hh""h""mm")&amp;")","")</f>
        <v/>
      </c>
      <c r="S93" s="43">
        <f>IF($B93="SECTION HEADER",$R93,S92)</f>
        <v/>
      </c>
    </row>
    <row r="94">
      <c r="B94" s="36" t="n"/>
      <c r="C94" s="36" t="n"/>
      <c r="D94" s="37" t="n"/>
      <c r="E94" s="38" t="n"/>
      <c r="F94" s="39" t="n"/>
      <c r="G94" s="39" t="n"/>
      <c r="H94" s="38" t="n"/>
      <c r="I94" s="40" t="n"/>
      <c r="J94" s="41" t="n"/>
      <c r="K94" s="41" t="n"/>
      <c r="L94" s="42" t="n"/>
      <c r="M94" s="38" t="n"/>
      <c r="N94" s="43">
        <f>IF($I94&lt;&gt;"",$I94&amp;IF(OR($P94="N/A",$P94=""),""," "&amp;$P94)&amp;IF(T($K94)&lt;&gt;"",": "&amp;$K94,""),T($J94))</f>
        <v/>
      </c>
      <c r="O94" s="44">
        <f>IF($I94&lt;&gt;"",IFERROR(INDEX(RateCard[Sell Price (charged to client, per shift)],MATCH($I94,RateCard[Officer Type],0)),0),N($L94))</f>
        <v/>
      </c>
      <c r="P94" s="45">
        <f>IF($I94&lt;&gt;"",IFERROR(INDEX(RateCard[PSIRA Grade],MATCH($I94,RateCard[Officer Type],0)),"N/A"),"N/A")</f>
        <v/>
      </c>
      <c r="Q94" s="44">
        <f>IF($B94="LINE ITEM",N($H94)*N($O94)*N($M94),"")</f>
        <v/>
      </c>
      <c r="R94" s="43">
        <f>IF($B94="SECTION HEADER",$C94&amp;": "&amp;TEXT($D94,"dddd d mmmm yyyy")&amp;" - "&amp;$E94&amp;" ("&amp;TEXT($F94,"hh""h""mm")&amp;" - "&amp;TEXT($G94,"hh""h""mm")&amp;")","")</f>
        <v/>
      </c>
      <c r="S94" s="43">
        <f>IF($B94="SECTION HEADER",$R94,S93)</f>
        <v/>
      </c>
    </row>
    <row r="95">
      <c r="B95" s="36" t="n"/>
      <c r="C95" s="36" t="n"/>
      <c r="D95" s="37" t="n"/>
      <c r="E95" s="38" t="n"/>
      <c r="F95" s="39" t="n"/>
      <c r="G95" s="39" t="n"/>
      <c r="H95" s="38" t="n"/>
      <c r="I95" s="40" t="n"/>
      <c r="J95" s="41" t="n"/>
      <c r="K95" s="41" t="n"/>
      <c r="L95" s="42" t="n"/>
      <c r="M95" s="38" t="n"/>
      <c r="N95" s="43">
        <f>IF($I95&lt;&gt;"",$I95&amp;IF(OR($P95="N/A",$P95=""),""," "&amp;$P95)&amp;IF(T($K95)&lt;&gt;"",": "&amp;$K95,""),T($J95))</f>
        <v/>
      </c>
      <c r="O95" s="44">
        <f>IF($I95&lt;&gt;"",IFERROR(INDEX(RateCard[Sell Price (charged to client, per shift)],MATCH($I95,RateCard[Officer Type],0)),0),N($L95))</f>
        <v/>
      </c>
      <c r="P95" s="45">
        <f>IF($I95&lt;&gt;"",IFERROR(INDEX(RateCard[PSIRA Grade],MATCH($I95,RateCard[Officer Type],0)),"N/A"),"N/A")</f>
        <v/>
      </c>
      <c r="Q95" s="44">
        <f>IF($B95="LINE ITEM",N($H95)*N($O95)*N($M95),"")</f>
        <v/>
      </c>
      <c r="R95" s="43">
        <f>IF($B95="SECTION HEADER",$C95&amp;": "&amp;TEXT($D95,"dddd d mmmm yyyy")&amp;" - "&amp;$E95&amp;" ("&amp;TEXT($F95,"hh""h""mm")&amp;" - "&amp;TEXT($G95,"hh""h""mm")&amp;")","")</f>
        <v/>
      </c>
      <c r="S95" s="43">
        <f>IF($B95="SECTION HEADER",$R95,S94)</f>
        <v/>
      </c>
    </row>
    <row r="96">
      <c r="B96" s="36" t="n"/>
      <c r="C96" s="36" t="n"/>
      <c r="D96" s="37" t="n"/>
      <c r="E96" s="38" t="n"/>
      <c r="F96" s="39" t="n"/>
      <c r="G96" s="39" t="n"/>
      <c r="H96" s="38" t="n"/>
      <c r="I96" s="40" t="n"/>
      <c r="J96" s="41" t="n"/>
      <c r="K96" s="41" t="n"/>
      <c r="L96" s="42" t="n"/>
      <c r="M96" s="38" t="n"/>
      <c r="N96" s="43">
        <f>IF($I96&lt;&gt;"",$I96&amp;IF(OR($P96="N/A",$P96=""),""," "&amp;$P96)&amp;IF(T($K96)&lt;&gt;"",": "&amp;$K96,""),T($J96))</f>
        <v/>
      </c>
      <c r="O96" s="44">
        <f>IF($I96&lt;&gt;"",IFERROR(INDEX(RateCard[Sell Price (charged to client, per shift)],MATCH($I96,RateCard[Officer Type],0)),0),N($L96))</f>
        <v/>
      </c>
      <c r="P96" s="45">
        <f>IF($I96&lt;&gt;"",IFERROR(INDEX(RateCard[PSIRA Grade],MATCH($I96,RateCard[Officer Type],0)),"N/A"),"N/A")</f>
        <v/>
      </c>
      <c r="Q96" s="44">
        <f>IF($B96="LINE ITEM",N($H96)*N($O96)*N($M96),"")</f>
        <v/>
      </c>
      <c r="R96" s="43">
        <f>IF($B96="SECTION HEADER",$C96&amp;": "&amp;TEXT($D96,"dddd d mmmm yyyy")&amp;" - "&amp;$E96&amp;" ("&amp;TEXT($F96,"hh""h""mm")&amp;" - "&amp;TEXT($G96,"hh""h""mm")&amp;")","")</f>
        <v/>
      </c>
      <c r="S96" s="43">
        <f>IF($B96="SECTION HEADER",$R96,S95)</f>
        <v/>
      </c>
    </row>
    <row r="97">
      <c r="B97" s="36" t="n"/>
      <c r="C97" s="36" t="n"/>
      <c r="D97" s="37" t="n"/>
      <c r="E97" s="38" t="n"/>
      <c r="F97" s="39" t="n"/>
      <c r="G97" s="39" t="n"/>
      <c r="H97" s="38" t="n"/>
      <c r="I97" s="40" t="n"/>
      <c r="J97" s="41" t="n"/>
      <c r="K97" s="41" t="n"/>
      <c r="L97" s="42" t="n"/>
      <c r="M97" s="38" t="n"/>
      <c r="N97" s="43">
        <f>IF($I97&lt;&gt;"",$I97&amp;IF(OR($P97="N/A",$P97=""),""," "&amp;$P97)&amp;IF(T($K97)&lt;&gt;"",": "&amp;$K97,""),T($J97))</f>
        <v/>
      </c>
      <c r="O97" s="44">
        <f>IF($I97&lt;&gt;"",IFERROR(INDEX(RateCard[Sell Price (charged to client, per shift)],MATCH($I97,RateCard[Officer Type],0)),0),N($L97))</f>
        <v/>
      </c>
      <c r="P97" s="45">
        <f>IF($I97&lt;&gt;"",IFERROR(INDEX(RateCard[PSIRA Grade],MATCH($I97,RateCard[Officer Type],0)),"N/A"),"N/A")</f>
        <v/>
      </c>
      <c r="Q97" s="44">
        <f>IF($B97="LINE ITEM",N($H97)*N($O97)*N($M97),"")</f>
        <v/>
      </c>
      <c r="R97" s="43">
        <f>IF($B97="SECTION HEADER",$C97&amp;": "&amp;TEXT($D97,"dddd d mmmm yyyy")&amp;" - "&amp;$E97&amp;" ("&amp;TEXT($F97,"hh""h""mm")&amp;" - "&amp;TEXT($G97,"hh""h""mm")&amp;")","")</f>
        <v/>
      </c>
      <c r="S97" s="43">
        <f>IF($B97="SECTION HEADER",$R97,S96)</f>
        <v/>
      </c>
    </row>
    <row r="98">
      <c r="B98" s="36" t="n"/>
      <c r="C98" s="36" t="n"/>
      <c r="D98" s="37" t="n"/>
      <c r="E98" s="38" t="n"/>
      <c r="F98" s="39" t="n"/>
      <c r="G98" s="39" t="n"/>
      <c r="H98" s="38" t="n"/>
      <c r="I98" s="40" t="n"/>
      <c r="J98" s="41" t="n"/>
      <c r="K98" s="41" t="n"/>
      <c r="L98" s="42" t="n"/>
      <c r="M98" s="38" t="n"/>
      <c r="N98" s="43">
        <f>IF($I98&lt;&gt;"",$I98&amp;IF(OR($P98="N/A",$P98=""),""," "&amp;$P98)&amp;IF(T($K98)&lt;&gt;"",": "&amp;$K98,""),T($J98))</f>
        <v/>
      </c>
      <c r="O98" s="44">
        <f>IF($I98&lt;&gt;"",IFERROR(INDEX(RateCard[Sell Price (charged to client, per shift)],MATCH($I98,RateCard[Officer Type],0)),0),N($L98))</f>
        <v/>
      </c>
      <c r="P98" s="45">
        <f>IF($I98&lt;&gt;"",IFERROR(INDEX(RateCard[PSIRA Grade],MATCH($I98,RateCard[Officer Type],0)),"N/A"),"N/A")</f>
        <v/>
      </c>
      <c r="Q98" s="44">
        <f>IF($B98="LINE ITEM",N($H98)*N($O98)*N($M98),"")</f>
        <v/>
      </c>
      <c r="R98" s="43">
        <f>IF($B98="SECTION HEADER",$C98&amp;": "&amp;TEXT($D98,"dddd d mmmm yyyy")&amp;" - "&amp;$E98&amp;" ("&amp;TEXT($F98,"hh""h""mm")&amp;" - "&amp;TEXT($G98,"hh""h""mm")&amp;")","")</f>
        <v/>
      </c>
      <c r="S98" s="43">
        <f>IF($B98="SECTION HEADER",$R98,S97)</f>
        <v/>
      </c>
    </row>
    <row r="99">
      <c r="B99" s="36" t="n"/>
      <c r="C99" s="36" t="n"/>
      <c r="D99" s="37" t="n"/>
      <c r="E99" s="38" t="n"/>
      <c r="F99" s="39" t="n"/>
      <c r="G99" s="39" t="n"/>
      <c r="H99" s="38" t="n"/>
      <c r="I99" s="40" t="n"/>
      <c r="J99" s="41" t="n"/>
      <c r="K99" s="41" t="n"/>
      <c r="L99" s="42" t="n"/>
      <c r="M99" s="38" t="n"/>
      <c r="N99" s="43">
        <f>IF($I99&lt;&gt;"",$I99&amp;IF(OR($P99="N/A",$P99=""),""," "&amp;$P99)&amp;IF(T($K99)&lt;&gt;"",": "&amp;$K99,""),T($J99))</f>
        <v/>
      </c>
      <c r="O99" s="44">
        <f>IF($I99&lt;&gt;"",IFERROR(INDEX(RateCard[Sell Price (charged to client, per shift)],MATCH($I99,RateCard[Officer Type],0)),0),N($L99))</f>
        <v/>
      </c>
      <c r="P99" s="45">
        <f>IF($I99&lt;&gt;"",IFERROR(INDEX(RateCard[PSIRA Grade],MATCH($I99,RateCard[Officer Type],0)),"N/A"),"N/A")</f>
        <v/>
      </c>
      <c r="Q99" s="44">
        <f>IF($B99="LINE ITEM",N($H99)*N($O99)*N($M99),"")</f>
        <v/>
      </c>
      <c r="R99" s="43">
        <f>IF($B99="SECTION HEADER",$C99&amp;": "&amp;TEXT($D99,"dddd d mmmm yyyy")&amp;" - "&amp;$E99&amp;" ("&amp;TEXT($F99,"hh""h""mm")&amp;" - "&amp;TEXT($G99,"hh""h""mm")&amp;")","")</f>
        <v/>
      </c>
      <c r="S99" s="43">
        <f>IF($B99="SECTION HEADER",$R99,S98)</f>
        <v/>
      </c>
    </row>
    <row r="100">
      <c r="B100" s="36" t="n"/>
      <c r="C100" s="36" t="n"/>
      <c r="D100" s="37" t="n"/>
      <c r="E100" s="38" t="n"/>
      <c r="F100" s="39" t="n"/>
      <c r="G100" s="39" t="n"/>
      <c r="H100" s="38" t="n"/>
      <c r="I100" s="40" t="n"/>
      <c r="J100" s="41" t="n"/>
      <c r="K100" s="41" t="n"/>
      <c r="L100" s="42" t="n"/>
      <c r="M100" s="38" t="n"/>
      <c r="N100" s="43">
        <f>IF($I100&lt;&gt;"",$I100&amp;IF(OR($P100="N/A",$P100=""),""," "&amp;$P100)&amp;IF(T($K100)&lt;&gt;"",": "&amp;$K100,""),T($J100))</f>
        <v/>
      </c>
      <c r="O100" s="44">
        <f>IF($I100&lt;&gt;"",IFERROR(INDEX(RateCard[Sell Price (charged to client, per shift)],MATCH($I100,RateCard[Officer Type],0)),0),N($L100))</f>
        <v/>
      </c>
      <c r="P100" s="45">
        <f>IF($I100&lt;&gt;"",IFERROR(INDEX(RateCard[PSIRA Grade],MATCH($I100,RateCard[Officer Type],0)),"N/A"),"N/A")</f>
        <v/>
      </c>
      <c r="Q100" s="44">
        <f>IF($B100="LINE ITEM",N($H100)*N($O100)*N($M100),"")</f>
        <v/>
      </c>
      <c r="R100" s="43">
        <f>IF($B100="SECTION HEADER",$C100&amp;": "&amp;TEXT($D100,"dddd d mmmm yyyy")&amp;" - "&amp;$E100&amp;" ("&amp;TEXT($F100,"hh""h""mm")&amp;" - "&amp;TEXT($G100,"hh""h""mm")&amp;")","")</f>
        <v/>
      </c>
      <c r="S100" s="43">
        <f>IF($B100="SECTION HEADER",$R100,S99)</f>
        <v/>
      </c>
    </row>
    <row r="101">
      <c r="B101" s="36" t="n"/>
      <c r="C101" s="36" t="n"/>
      <c r="D101" s="37" t="n"/>
      <c r="E101" s="38" t="n"/>
      <c r="F101" s="39" t="n"/>
      <c r="G101" s="39" t="n"/>
      <c r="H101" s="38" t="n"/>
      <c r="I101" s="40" t="n"/>
      <c r="J101" s="41" t="n"/>
      <c r="K101" s="41" t="n"/>
      <c r="L101" s="42" t="n"/>
      <c r="M101" s="38" t="n"/>
      <c r="N101" s="43">
        <f>IF($I101&lt;&gt;"",$I101&amp;IF(OR($P101="N/A",$P101=""),""," "&amp;$P101)&amp;IF(T($K101)&lt;&gt;"",": "&amp;$K101,""),T($J101))</f>
        <v/>
      </c>
      <c r="O101" s="44">
        <f>IF($I101&lt;&gt;"",IFERROR(INDEX(RateCard[Sell Price (charged to client, per shift)],MATCH($I101,RateCard[Officer Type],0)),0),N($L101))</f>
        <v/>
      </c>
      <c r="P101" s="45">
        <f>IF($I101&lt;&gt;"",IFERROR(INDEX(RateCard[PSIRA Grade],MATCH($I101,RateCard[Officer Type],0)),"N/A"),"N/A")</f>
        <v/>
      </c>
      <c r="Q101" s="44">
        <f>IF($B101="LINE ITEM",N($H101)*N($O101)*N($M101),"")</f>
        <v/>
      </c>
      <c r="R101" s="43">
        <f>IF($B101="SECTION HEADER",$C101&amp;": "&amp;TEXT($D101,"dddd d mmmm yyyy")&amp;" - "&amp;$E101&amp;" ("&amp;TEXT($F101,"hh""h""mm")&amp;" - "&amp;TEXT($G101,"hh""h""mm")&amp;")","")</f>
        <v/>
      </c>
      <c r="S101" s="43">
        <f>IF($B101="SECTION HEADER",$R101,S100)</f>
        <v/>
      </c>
    </row>
    <row r="102">
      <c r="B102" s="36" t="n"/>
      <c r="C102" s="36" t="n"/>
      <c r="D102" s="37" t="n"/>
      <c r="E102" s="38" t="n"/>
      <c r="F102" s="39" t="n"/>
      <c r="G102" s="39" t="n"/>
      <c r="H102" s="38" t="n"/>
      <c r="I102" s="40" t="n"/>
      <c r="J102" s="41" t="n"/>
      <c r="K102" s="41" t="n"/>
      <c r="L102" s="42" t="n"/>
      <c r="M102" s="38" t="n"/>
      <c r="N102" s="43">
        <f>IF($I102&lt;&gt;"",$I102&amp;IF(OR($P102="N/A",$P102=""),""," "&amp;$P102)&amp;IF(T($K102)&lt;&gt;"",": "&amp;$K102,""),T($J102))</f>
        <v/>
      </c>
      <c r="O102" s="44">
        <f>IF($I102&lt;&gt;"",IFERROR(INDEX(RateCard[Sell Price (charged to client, per shift)],MATCH($I102,RateCard[Officer Type],0)),0),N($L102))</f>
        <v/>
      </c>
      <c r="P102" s="45">
        <f>IF($I102&lt;&gt;"",IFERROR(INDEX(RateCard[PSIRA Grade],MATCH($I102,RateCard[Officer Type],0)),"N/A"),"N/A")</f>
        <v/>
      </c>
      <c r="Q102" s="44">
        <f>IF($B102="LINE ITEM",N($H102)*N($O102)*N($M102),"")</f>
        <v/>
      </c>
      <c r="R102" s="43">
        <f>IF($B102="SECTION HEADER",$C102&amp;": "&amp;TEXT($D102,"dddd d mmmm yyyy")&amp;" - "&amp;$E102&amp;" ("&amp;TEXT($F102,"hh""h""mm")&amp;" - "&amp;TEXT($G102,"hh""h""mm")&amp;")","")</f>
        <v/>
      </c>
      <c r="S102" s="43">
        <f>IF($B102="SECTION HEADER",$R102,S101)</f>
        <v/>
      </c>
    </row>
    <row r="103">
      <c r="B103" s="36" t="n"/>
      <c r="C103" s="36" t="n"/>
      <c r="D103" s="37" t="n"/>
      <c r="E103" s="38" t="n"/>
      <c r="F103" s="39" t="n"/>
      <c r="G103" s="39" t="n"/>
      <c r="H103" s="38" t="n"/>
      <c r="I103" s="40" t="n"/>
      <c r="J103" s="41" t="n"/>
      <c r="K103" s="41" t="n"/>
      <c r="L103" s="42" t="n"/>
      <c r="M103" s="38" t="n"/>
      <c r="N103" s="43">
        <f>IF($I103&lt;&gt;"",$I103&amp;IF(OR($P103="N/A",$P103=""),""," "&amp;$P103)&amp;IF(T($K103)&lt;&gt;"",": "&amp;$K103,""),T($J103))</f>
        <v/>
      </c>
      <c r="O103" s="44">
        <f>IF($I103&lt;&gt;"",IFERROR(INDEX(RateCard[Sell Price (charged to client, per shift)],MATCH($I103,RateCard[Officer Type],0)),0),N($L103))</f>
        <v/>
      </c>
      <c r="P103" s="45">
        <f>IF($I103&lt;&gt;"",IFERROR(INDEX(RateCard[PSIRA Grade],MATCH($I103,RateCard[Officer Type],0)),"N/A"),"N/A")</f>
        <v/>
      </c>
      <c r="Q103" s="44">
        <f>IF($B103="LINE ITEM",N($H103)*N($O103)*N($M103),"")</f>
        <v/>
      </c>
      <c r="R103" s="43">
        <f>IF($B103="SECTION HEADER",$C103&amp;": "&amp;TEXT($D103,"dddd d mmmm yyyy")&amp;" - "&amp;$E103&amp;" ("&amp;TEXT($F103,"hh""h""mm")&amp;" - "&amp;TEXT($G103,"hh""h""mm")&amp;")","")</f>
        <v/>
      </c>
      <c r="S103" s="43">
        <f>IF($B103="SECTION HEADER",$R103,S102)</f>
        <v/>
      </c>
    </row>
    <row r="104">
      <c r="B104" s="36" t="n"/>
      <c r="C104" s="36" t="n"/>
      <c r="D104" s="37" t="n"/>
      <c r="E104" s="38" t="n"/>
      <c r="F104" s="39" t="n"/>
      <c r="G104" s="39" t="n"/>
      <c r="H104" s="38" t="n"/>
      <c r="I104" s="40" t="n"/>
      <c r="J104" s="41" t="n"/>
      <c r="K104" s="41" t="n"/>
      <c r="L104" s="42" t="n"/>
      <c r="M104" s="38" t="n"/>
      <c r="N104" s="43">
        <f>IF($I104&lt;&gt;"",$I104&amp;IF(OR($P104="N/A",$P104=""),""," "&amp;$P104)&amp;IF(T($K104)&lt;&gt;"",": "&amp;$K104,""),T($J104))</f>
        <v/>
      </c>
      <c r="O104" s="44">
        <f>IF($I104&lt;&gt;"",IFERROR(INDEX(RateCard[Sell Price (charged to client, per shift)],MATCH($I104,RateCard[Officer Type],0)),0),N($L104))</f>
        <v/>
      </c>
      <c r="P104" s="45">
        <f>IF($I104&lt;&gt;"",IFERROR(INDEX(RateCard[PSIRA Grade],MATCH($I104,RateCard[Officer Type],0)),"N/A"),"N/A")</f>
        <v/>
      </c>
      <c r="Q104" s="44">
        <f>IF($B104="LINE ITEM",N($H104)*N($O104)*N($M104),"")</f>
        <v/>
      </c>
      <c r="R104" s="43">
        <f>IF($B104="SECTION HEADER",$C104&amp;": "&amp;TEXT($D104,"dddd d mmmm yyyy")&amp;" - "&amp;$E104&amp;" ("&amp;TEXT($F104,"hh""h""mm")&amp;" - "&amp;TEXT($G104,"hh""h""mm")&amp;")","")</f>
        <v/>
      </c>
      <c r="S104" s="43">
        <f>IF($B104="SECTION HEADER",$R104,S103)</f>
        <v/>
      </c>
    </row>
    <row r="105">
      <c r="B105" s="36" t="n"/>
      <c r="C105" s="36" t="n"/>
      <c r="D105" s="37" t="n"/>
      <c r="E105" s="38" t="n"/>
      <c r="F105" s="39" t="n"/>
      <c r="G105" s="39" t="n"/>
      <c r="H105" s="38" t="n"/>
      <c r="I105" s="40" t="n"/>
      <c r="J105" s="41" t="n"/>
      <c r="K105" s="41" t="n"/>
      <c r="L105" s="42" t="n"/>
      <c r="M105" s="38" t="n"/>
      <c r="N105" s="43">
        <f>IF($I105&lt;&gt;"",$I105&amp;IF(OR($P105="N/A",$P105=""),""," "&amp;$P105)&amp;IF(T($K105)&lt;&gt;"",": "&amp;$K105,""),T($J105))</f>
        <v/>
      </c>
      <c r="O105" s="44">
        <f>IF($I105&lt;&gt;"",IFERROR(INDEX(RateCard[Sell Price (charged to client, per shift)],MATCH($I105,RateCard[Officer Type],0)),0),N($L105))</f>
        <v/>
      </c>
      <c r="P105" s="45">
        <f>IF($I105&lt;&gt;"",IFERROR(INDEX(RateCard[PSIRA Grade],MATCH($I105,RateCard[Officer Type],0)),"N/A"),"N/A")</f>
        <v/>
      </c>
      <c r="Q105" s="44">
        <f>IF($B105="LINE ITEM",N($H105)*N($O105)*N($M105),"")</f>
        <v/>
      </c>
      <c r="R105" s="43">
        <f>IF($B105="SECTION HEADER",$C105&amp;": "&amp;TEXT($D105,"dddd d mmmm yyyy")&amp;" - "&amp;$E105&amp;" ("&amp;TEXT($F105,"hh""h""mm")&amp;" - "&amp;TEXT($G105,"hh""h""mm")&amp;")","")</f>
        <v/>
      </c>
      <c r="S105" s="43">
        <f>IF($B105="SECTION HEADER",$R105,S104)</f>
        <v/>
      </c>
    </row>
    <row r="106">
      <c r="B106" s="36" t="n"/>
      <c r="C106" s="36" t="n"/>
      <c r="D106" s="37" t="n"/>
      <c r="E106" s="38" t="n"/>
      <c r="F106" s="39" t="n"/>
      <c r="G106" s="39" t="n"/>
      <c r="H106" s="38" t="n"/>
      <c r="I106" s="40" t="n"/>
      <c r="J106" s="41" t="n"/>
      <c r="K106" s="41" t="n"/>
      <c r="L106" s="42" t="n"/>
      <c r="M106" s="38" t="n"/>
      <c r="N106" s="43">
        <f>IF($I106&lt;&gt;"",$I106&amp;IF(OR($P106="N/A",$P106=""),""," "&amp;$P106)&amp;IF(T($K106)&lt;&gt;"",": "&amp;$K106,""),T($J106))</f>
        <v/>
      </c>
      <c r="O106" s="44">
        <f>IF($I106&lt;&gt;"",IFERROR(INDEX(RateCard[Sell Price (charged to client, per shift)],MATCH($I106,RateCard[Officer Type],0)),0),N($L106))</f>
        <v/>
      </c>
      <c r="P106" s="45">
        <f>IF($I106&lt;&gt;"",IFERROR(INDEX(RateCard[PSIRA Grade],MATCH($I106,RateCard[Officer Type],0)),"N/A"),"N/A")</f>
        <v/>
      </c>
      <c r="Q106" s="44">
        <f>IF($B106="LINE ITEM",N($H106)*N($O106)*N($M106),"")</f>
        <v/>
      </c>
      <c r="R106" s="43">
        <f>IF($B106="SECTION HEADER",$C106&amp;": "&amp;TEXT($D106,"dddd d mmmm yyyy")&amp;" - "&amp;$E106&amp;" ("&amp;TEXT($F106,"hh""h""mm")&amp;" - "&amp;TEXT($G106,"hh""h""mm")&amp;")","")</f>
        <v/>
      </c>
      <c r="S106" s="43">
        <f>IF($B106="SECTION HEADER",$R106,S105)</f>
        <v/>
      </c>
    </row>
    <row r="107">
      <c r="B107" s="36" t="n"/>
      <c r="C107" s="36" t="n"/>
      <c r="D107" s="37" t="n"/>
      <c r="E107" s="38" t="n"/>
      <c r="F107" s="39" t="n"/>
      <c r="G107" s="39" t="n"/>
      <c r="H107" s="38" t="n"/>
      <c r="I107" s="40" t="n"/>
      <c r="J107" s="41" t="n"/>
      <c r="K107" s="41" t="n"/>
      <c r="L107" s="42" t="n"/>
      <c r="M107" s="38" t="n"/>
      <c r="N107" s="43">
        <f>IF($I107&lt;&gt;"",$I107&amp;IF(OR($P107="N/A",$P107=""),""," "&amp;$P107)&amp;IF(T($K107)&lt;&gt;"",": "&amp;$K107,""),T($J107))</f>
        <v/>
      </c>
      <c r="O107" s="44">
        <f>IF($I107&lt;&gt;"",IFERROR(INDEX(RateCard[Sell Price (charged to client, per shift)],MATCH($I107,RateCard[Officer Type],0)),0),N($L107))</f>
        <v/>
      </c>
      <c r="P107" s="45">
        <f>IF($I107&lt;&gt;"",IFERROR(INDEX(RateCard[PSIRA Grade],MATCH($I107,RateCard[Officer Type],0)),"N/A"),"N/A")</f>
        <v/>
      </c>
      <c r="Q107" s="44">
        <f>IF($B107="LINE ITEM",N($H107)*N($O107)*N($M107),"")</f>
        <v/>
      </c>
      <c r="R107" s="43">
        <f>IF($B107="SECTION HEADER",$C107&amp;": "&amp;TEXT($D107,"dddd d mmmm yyyy")&amp;" - "&amp;$E107&amp;" ("&amp;TEXT($F107,"hh""h""mm")&amp;" - "&amp;TEXT($G107,"hh""h""mm")&amp;")","")</f>
        <v/>
      </c>
      <c r="S107" s="43">
        <f>IF($B107="SECTION HEADER",$R107,S106)</f>
        <v/>
      </c>
    </row>
    <row r="108">
      <c r="B108" s="36" t="n"/>
      <c r="C108" s="36" t="n"/>
      <c r="D108" s="37" t="n"/>
      <c r="E108" s="38" t="n"/>
      <c r="F108" s="39" t="n"/>
      <c r="G108" s="39" t="n"/>
      <c r="H108" s="38" t="n"/>
      <c r="I108" s="40" t="n"/>
      <c r="J108" s="41" t="n"/>
      <c r="K108" s="41" t="n"/>
      <c r="L108" s="42" t="n"/>
      <c r="M108" s="38" t="n"/>
      <c r="N108" s="43">
        <f>IF($I108&lt;&gt;"",$I108&amp;IF(OR($P108="N/A",$P108=""),""," "&amp;$P108)&amp;IF(T($K108)&lt;&gt;"",": "&amp;$K108,""),T($J108))</f>
        <v/>
      </c>
      <c r="O108" s="44">
        <f>IF($I108&lt;&gt;"",IFERROR(INDEX(RateCard[Sell Price (charged to client, per shift)],MATCH($I108,RateCard[Officer Type],0)),0),N($L108))</f>
        <v/>
      </c>
      <c r="P108" s="45">
        <f>IF($I108&lt;&gt;"",IFERROR(INDEX(RateCard[PSIRA Grade],MATCH($I108,RateCard[Officer Type],0)),"N/A"),"N/A")</f>
        <v/>
      </c>
      <c r="Q108" s="44">
        <f>IF($B108="LINE ITEM",N($H108)*N($O108)*N($M108),"")</f>
        <v/>
      </c>
      <c r="R108" s="43">
        <f>IF($B108="SECTION HEADER",$C108&amp;": "&amp;TEXT($D108,"dddd d mmmm yyyy")&amp;" - "&amp;$E108&amp;" ("&amp;TEXT($F108,"hh""h""mm")&amp;" - "&amp;TEXT($G108,"hh""h""mm")&amp;")","")</f>
        <v/>
      </c>
      <c r="S108" s="43">
        <f>IF($B108="SECTION HEADER",$R108,S107)</f>
        <v/>
      </c>
    </row>
    <row r="109">
      <c r="B109" s="36" t="n"/>
      <c r="C109" s="36" t="n"/>
      <c r="D109" s="37" t="n"/>
      <c r="E109" s="38" t="n"/>
      <c r="F109" s="39" t="n"/>
      <c r="G109" s="39" t="n"/>
      <c r="H109" s="38" t="n"/>
      <c r="I109" s="40" t="n"/>
      <c r="J109" s="41" t="n"/>
      <c r="K109" s="41" t="n"/>
      <c r="L109" s="42" t="n"/>
      <c r="M109" s="38" t="n"/>
      <c r="N109" s="43">
        <f>IF($I109&lt;&gt;"",$I109&amp;IF(OR($P109="N/A",$P109=""),""," "&amp;$P109)&amp;IF(T($K109)&lt;&gt;"",": "&amp;$K109,""),T($J109))</f>
        <v/>
      </c>
      <c r="O109" s="44">
        <f>IF($I109&lt;&gt;"",IFERROR(INDEX(RateCard[Sell Price (charged to client, per shift)],MATCH($I109,RateCard[Officer Type],0)),0),N($L109))</f>
        <v/>
      </c>
      <c r="P109" s="45">
        <f>IF($I109&lt;&gt;"",IFERROR(INDEX(RateCard[PSIRA Grade],MATCH($I109,RateCard[Officer Type],0)),"N/A"),"N/A")</f>
        <v/>
      </c>
      <c r="Q109" s="44">
        <f>IF($B109="LINE ITEM",N($H109)*N($O109)*N($M109),"")</f>
        <v/>
      </c>
      <c r="R109" s="43">
        <f>IF($B109="SECTION HEADER",$C109&amp;": "&amp;TEXT($D109,"dddd d mmmm yyyy")&amp;" - "&amp;$E109&amp;" ("&amp;TEXT($F109,"hh""h""mm")&amp;" - "&amp;TEXT($G109,"hh""h""mm")&amp;")","")</f>
        <v/>
      </c>
      <c r="S109" s="43">
        <f>IF($B109="SECTION HEADER",$R109,S108)</f>
        <v/>
      </c>
    </row>
    <row r="110">
      <c r="B110" s="36" t="n"/>
      <c r="C110" s="36" t="n"/>
      <c r="D110" s="37" t="n"/>
      <c r="E110" s="38" t="n"/>
      <c r="F110" s="39" t="n"/>
      <c r="G110" s="39" t="n"/>
      <c r="H110" s="38" t="n"/>
      <c r="I110" s="40" t="n"/>
      <c r="J110" s="41" t="n"/>
      <c r="K110" s="41" t="n"/>
      <c r="L110" s="42" t="n"/>
      <c r="M110" s="38" t="n"/>
      <c r="N110" s="43">
        <f>IF($I110&lt;&gt;"",$I110&amp;IF(OR($P110="N/A",$P110=""),""," "&amp;$P110)&amp;IF(T($K110)&lt;&gt;"",": "&amp;$K110,""),T($J110))</f>
        <v/>
      </c>
      <c r="O110" s="44">
        <f>IF($I110&lt;&gt;"",IFERROR(INDEX(RateCard[Sell Price (charged to client, per shift)],MATCH($I110,RateCard[Officer Type],0)),0),N($L110))</f>
        <v/>
      </c>
      <c r="P110" s="45">
        <f>IF($I110&lt;&gt;"",IFERROR(INDEX(RateCard[PSIRA Grade],MATCH($I110,RateCard[Officer Type],0)),"N/A"),"N/A")</f>
        <v/>
      </c>
      <c r="Q110" s="44">
        <f>IF($B110="LINE ITEM",N($H110)*N($O110)*N($M110),"")</f>
        <v/>
      </c>
      <c r="R110" s="43">
        <f>IF($B110="SECTION HEADER",$C110&amp;": "&amp;TEXT($D110,"dddd d mmmm yyyy")&amp;" - "&amp;$E110&amp;" ("&amp;TEXT($F110,"hh""h""mm")&amp;" - "&amp;TEXT($G110,"hh""h""mm")&amp;")","")</f>
        <v/>
      </c>
      <c r="S110" s="43">
        <f>IF($B110="SECTION HEADER",$R110,S109)</f>
        <v/>
      </c>
    </row>
    <row r="111">
      <c r="B111" s="36" t="n"/>
      <c r="C111" s="36" t="n"/>
      <c r="D111" s="37" t="n"/>
      <c r="E111" s="38" t="n"/>
      <c r="F111" s="39" t="n"/>
      <c r="G111" s="39" t="n"/>
      <c r="H111" s="38" t="n"/>
      <c r="I111" s="40" t="n"/>
      <c r="J111" s="41" t="n"/>
      <c r="K111" s="41" t="n"/>
      <c r="L111" s="42" t="n"/>
      <c r="M111" s="38" t="n"/>
      <c r="N111" s="43">
        <f>IF($I111&lt;&gt;"",$I111&amp;IF(OR($P111="N/A",$P111=""),""," "&amp;$P111)&amp;IF(T($K111)&lt;&gt;"",": "&amp;$K111,""),T($J111))</f>
        <v/>
      </c>
      <c r="O111" s="44">
        <f>IF($I111&lt;&gt;"",IFERROR(INDEX(RateCard[Sell Price (charged to client, per shift)],MATCH($I111,RateCard[Officer Type],0)),0),N($L111))</f>
        <v/>
      </c>
      <c r="P111" s="45">
        <f>IF($I111&lt;&gt;"",IFERROR(INDEX(RateCard[PSIRA Grade],MATCH($I111,RateCard[Officer Type],0)),"N/A"),"N/A")</f>
        <v/>
      </c>
      <c r="Q111" s="44">
        <f>IF($B111="LINE ITEM",N($H111)*N($O111)*N($M111),"")</f>
        <v/>
      </c>
      <c r="R111" s="43">
        <f>IF($B111="SECTION HEADER",$C111&amp;": "&amp;TEXT($D111,"dddd d mmmm yyyy")&amp;" - "&amp;$E111&amp;" ("&amp;TEXT($F111,"hh""h""mm")&amp;" - "&amp;TEXT($G111,"hh""h""mm")&amp;")","")</f>
        <v/>
      </c>
      <c r="S111" s="43">
        <f>IF($B111="SECTION HEADER",$R111,S110)</f>
        <v/>
      </c>
    </row>
    <row r="112">
      <c r="B112" s="36" t="n"/>
      <c r="C112" s="36" t="n"/>
      <c r="D112" s="37" t="n"/>
      <c r="E112" s="38" t="n"/>
      <c r="F112" s="39" t="n"/>
      <c r="G112" s="39" t="n"/>
      <c r="H112" s="38" t="n"/>
      <c r="I112" s="40" t="n"/>
      <c r="J112" s="41" t="n"/>
      <c r="K112" s="41" t="n"/>
      <c r="L112" s="42" t="n"/>
      <c r="M112" s="38" t="n"/>
      <c r="N112" s="43">
        <f>IF($I112&lt;&gt;"",$I112&amp;IF(OR($P112="N/A",$P112=""),""," "&amp;$P112)&amp;IF(T($K112)&lt;&gt;"",": "&amp;$K112,""),T($J112))</f>
        <v/>
      </c>
      <c r="O112" s="44">
        <f>IF($I112&lt;&gt;"",IFERROR(INDEX(RateCard[Sell Price (charged to client, per shift)],MATCH($I112,RateCard[Officer Type],0)),0),N($L112))</f>
        <v/>
      </c>
      <c r="P112" s="45">
        <f>IF($I112&lt;&gt;"",IFERROR(INDEX(RateCard[PSIRA Grade],MATCH($I112,RateCard[Officer Type],0)),"N/A"),"N/A")</f>
        <v/>
      </c>
      <c r="Q112" s="44">
        <f>IF($B112="LINE ITEM",N($H112)*N($O112)*N($M112),"")</f>
        <v/>
      </c>
      <c r="R112" s="43">
        <f>IF($B112="SECTION HEADER",$C112&amp;": "&amp;TEXT($D112,"dddd d mmmm yyyy")&amp;" - "&amp;$E112&amp;" ("&amp;TEXT($F112,"hh""h""mm")&amp;" - "&amp;TEXT($G112,"hh""h""mm")&amp;")","")</f>
        <v/>
      </c>
      <c r="S112" s="43">
        <f>IF($B112="SECTION HEADER",$R112,S111)</f>
        <v/>
      </c>
    </row>
    <row r="113">
      <c r="B113" s="36" t="n"/>
      <c r="C113" s="36" t="n"/>
      <c r="D113" s="37" t="n"/>
      <c r="E113" s="38" t="n"/>
      <c r="F113" s="39" t="n"/>
      <c r="G113" s="39" t="n"/>
      <c r="H113" s="38" t="n"/>
      <c r="I113" s="40" t="n"/>
      <c r="J113" s="41" t="n"/>
      <c r="K113" s="41" t="n"/>
      <c r="L113" s="42" t="n"/>
      <c r="M113" s="38" t="n"/>
      <c r="N113" s="43">
        <f>IF($I113&lt;&gt;"",$I113&amp;IF(OR($P113="N/A",$P113=""),""," "&amp;$P113)&amp;IF(T($K113)&lt;&gt;"",": "&amp;$K113,""),T($J113))</f>
        <v/>
      </c>
      <c r="O113" s="44">
        <f>IF($I113&lt;&gt;"",IFERROR(INDEX(RateCard[Sell Price (charged to client, per shift)],MATCH($I113,RateCard[Officer Type],0)),0),N($L113))</f>
        <v/>
      </c>
      <c r="P113" s="45">
        <f>IF($I113&lt;&gt;"",IFERROR(INDEX(RateCard[PSIRA Grade],MATCH($I113,RateCard[Officer Type],0)),"N/A"),"N/A")</f>
        <v/>
      </c>
      <c r="Q113" s="44">
        <f>IF($B113="LINE ITEM",N($H113)*N($O113)*N($M113),"")</f>
        <v/>
      </c>
      <c r="R113" s="43">
        <f>IF($B113="SECTION HEADER",$C113&amp;": "&amp;TEXT($D113,"dddd d mmmm yyyy")&amp;" - "&amp;$E113&amp;" ("&amp;TEXT($F113,"hh""h""mm")&amp;" - "&amp;TEXT($G113,"hh""h""mm")&amp;")","")</f>
        <v/>
      </c>
      <c r="S113" s="43">
        <f>IF($B113="SECTION HEADER",$R113,S112)</f>
        <v/>
      </c>
    </row>
    <row r="114">
      <c r="B114" s="36" t="n"/>
      <c r="C114" s="36" t="n"/>
      <c r="D114" s="37" t="n"/>
      <c r="E114" s="38" t="n"/>
      <c r="F114" s="39" t="n"/>
      <c r="G114" s="39" t="n"/>
      <c r="H114" s="38" t="n"/>
      <c r="I114" s="40" t="n"/>
      <c r="J114" s="41" t="n"/>
      <c r="K114" s="41" t="n"/>
      <c r="L114" s="42" t="n"/>
      <c r="M114" s="38" t="n"/>
      <c r="N114" s="43">
        <f>IF($I114&lt;&gt;"",$I114&amp;IF(OR($P114="N/A",$P114=""),""," "&amp;$P114)&amp;IF(T($K114)&lt;&gt;"",": "&amp;$K114,""),T($J114))</f>
        <v/>
      </c>
      <c r="O114" s="44">
        <f>IF($I114&lt;&gt;"",IFERROR(INDEX(RateCard[Sell Price (charged to client, per shift)],MATCH($I114,RateCard[Officer Type],0)),0),N($L114))</f>
        <v/>
      </c>
      <c r="P114" s="45">
        <f>IF($I114&lt;&gt;"",IFERROR(INDEX(RateCard[PSIRA Grade],MATCH($I114,RateCard[Officer Type],0)),"N/A"),"N/A")</f>
        <v/>
      </c>
      <c r="Q114" s="44">
        <f>IF($B114="LINE ITEM",N($H114)*N($O114)*N($M114),"")</f>
        <v/>
      </c>
      <c r="R114" s="43">
        <f>IF($B114="SECTION HEADER",$C114&amp;": "&amp;TEXT($D114,"dddd d mmmm yyyy")&amp;" - "&amp;$E114&amp;" ("&amp;TEXT($F114,"hh""h""mm")&amp;" - "&amp;TEXT($G114,"hh""h""mm")&amp;")","")</f>
        <v/>
      </c>
      <c r="S114" s="43">
        <f>IF($B114="SECTION HEADER",$R114,S113)</f>
        <v/>
      </c>
    </row>
    <row r="115">
      <c r="B115" s="36" t="n"/>
      <c r="C115" s="36" t="n"/>
      <c r="D115" s="37" t="n"/>
      <c r="E115" s="38" t="n"/>
      <c r="F115" s="39" t="n"/>
      <c r="G115" s="39" t="n"/>
      <c r="H115" s="38" t="n"/>
      <c r="I115" s="40" t="n"/>
      <c r="J115" s="41" t="n"/>
      <c r="K115" s="41" t="n"/>
      <c r="L115" s="42" t="n"/>
      <c r="M115" s="38" t="n"/>
      <c r="N115" s="43">
        <f>IF($I115&lt;&gt;"",$I115&amp;IF(OR($P115="N/A",$P115=""),""," "&amp;$P115)&amp;IF(T($K115)&lt;&gt;"",": "&amp;$K115,""),T($J115))</f>
        <v/>
      </c>
      <c r="O115" s="44">
        <f>IF($I115&lt;&gt;"",IFERROR(INDEX(RateCard[Sell Price (charged to client, per shift)],MATCH($I115,RateCard[Officer Type],0)),0),N($L115))</f>
        <v/>
      </c>
      <c r="P115" s="45">
        <f>IF($I115&lt;&gt;"",IFERROR(INDEX(RateCard[PSIRA Grade],MATCH($I115,RateCard[Officer Type],0)),"N/A"),"N/A")</f>
        <v/>
      </c>
      <c r="Q115" s="44">
        <f>IF($B115="LINE ITEM",N($H115)*N($O115)*N($M115),"")</f>
        <v/>
      </c>
      <c r="R115" s="43">
        <f>IF($B115="SECTION HEADER",$C115&amp;": "&amp;TEXT($D115,"dddd d mmmm yyyy")&amp;" - "&amp;$E115&amp;" ("&amp;TEXT($F115,"hh""h""mm")&amp;" - "&amp;TEXT($G115,"hh""h""mm")&amp;")","")</f>
        <v/>
      </c>
      <c r="S115" s="43">
        <f>IF($B115="SECTION HEADER",$R115,S114)</f>
        <v/>
      </c>
    </row>
    <row r="116">
      <c r="B116" s="36" t="n"/>
      <c r="C116" s="36" t="n"/>
      <c r="D116" s="37" t="n"/>
      <c r="E116" s="38" t="n"/>
      <c r="F116" s="39" t="n"/>
      <c r="G116" s="39" t="n"/>
      <c r="H116" s="38" t="n"/>
      <c r="I116" s="40" t="n"/>
      <c r="J116" s="41" t="n"/>
      <c r="K116" s="41" t="n"/>
      <c r="L116" s="42" t="n"/>
      <c r="M116" s="38" t="n"/>
      <c r="N116" s="43">
        <f>IF($I116&lt;&gt;"",$I116&amp;IF(OR($P116="N/A",$P116=""),""," "&amp;$P116)&amp;IF(T($K116)&lt;&gt;"",": "&amp;$K116,""),T($J116))</f>
        <v/>
      </c>
      <c r="O116" s="44">
        <f>IF($I116&lt;&gt;"",IFERROR(INDEX(RateCard[Sell Price (charged to client, per shift)],MATCH($I116,RateCard[Officer Type],0)),0),N($L116))</f>
        <v/>
      </c>
      <c r="P116" s="45">
        <f>IF($I116&lt;&gt;"",IFERROR(INDEX(RateCard[PSIRA Grade],MATCH($I116,RateCard[Officer Type],0)),"N/A"),"N/A")</f>
        <v/>
      </c>
      <c r="Q116" s="44">
        <f>IF($B116="LINE ITEM",N($H116)*N($O116)*N($M116),"")</f>
        <v/>
      </c>
      <c r="R116" s="43">
        <f>IF($B116="SECTION HEADER",$C116&amp;": "&amp;TEXT($D116,"dddd d mmmm yyyy")&amp;" - "&amp;$E116&amp;" ("&amp;TEXT($F116,"hh""h""mm")&amp;" - "&amp;TEXT($G116,"hh""h""mm")&amp;")","")</f>
        <v/>
      </c>
      <c r="S116" s="43">
        <f>IF($B116="SECTION HEADER",$R116,S115)</f>
        <v/>
      </c>
    </row>
    <row r="117">
      <c r="B117" s="36" t="n"/>
      <c r="C117" s="36" t="n"/>
      <c r="D117" s="37" t="n"/>
      <c r="E117" s="38" t="n"/>
      <c r="F117" s="39" t="n"/>
      <c r="G117" s="39" t="n"/>
      <c r="H117" s="38" t="n"/>
      <c r="I117" s="40" t="n"/>
      <c r="J117" s="41" t="n"/>
      <c r="K117" s="41" t="n"/>
      <c r="L117" s="42" t="n"/>
      <c r="M117" s="38" t="n"/>
      <c r="N117" s="43">
        <f>IF($I117&lt;&gt;"",$I117&amp;IF(OR($P117="N/A",$P117=""),""," "&amp;$P117)&amp;IF(T($K117)&lt;&gt;"",": "&amp;$K117,""),T($J117))</f>
        <v/>
      </c>
      <c r="O117" s="44">
        <f>IF($I117&lt;&gt;"",IFERROR(INDEX(RateCard[Sell Price (charged to client, per shift)],MATCH($I117,RateCard[Officer Type],0)),0),N($L117))</f>
        <v/>
      </c>
      <c r="P117" s="45">
        <f>IF($I117&lt;&gt;"",IFERROR(INDEX(RateCard[PSIRA Grade],MATCH($I117,RateCard[Officer Type],0)),"N/A"),"N/A")</f>
        <v/>
      </c>
      <c r="Q117" s="44">
        <f>IF($B117="LINE ITEM",N($H117)*N($O117)*N($M117),"")</f>
        <v/>
      </c>
      <c r="R117" s="43">
        <f>IF($B117="SECTION HEADER",$C117&amp;": "&amp;TEXT($D117,"dddd d mmmm yyyy")&amp;" - "&amp;$E117&amp;" ("&amp;TEXT($F117,"hh""h""mm")&amp;" - "&amp;TEXT($G117,"hh""h""mm")&amp;")","")</f>
        <v/>
      </c>
      <c r="S117" s="43">
        <f>IF($B117="SECTION HEADER",$R117,S116)</f>
        <v/>
      </c>
    </row>
    <row r="118">
      <c r="B118" s="36" t="n"/>
      <c r="C118" s="36" t="n"/>
      <c r="D118" s="37" t="n"/>
      <c r="E118" s="38" t="n"/>
      <c r="F118" s="39" t="n"/>
      <c r="G118" s="39" t="n"/>
      <c r="H118" s="38" t="n"/>
      <c r="I118" s="40" t="n"/>
      <c r="J118" s="41" t="n"/>
      <c r="K118" s="41" t="n"/>
      <c r="L118" s="42" t="n"/>
      <c r="M118" s="38" t="n"/>
      <c r="N118" s="43">
        <f>IF($I118&lt;&gt;"",$I118&amp;IF(OR($P118="N/A",$P118=""),""," "&amp;$P118)&amp;IF(T($K118)&lt;&gt;"",": "&amp;$K118,""),T($J118))</f>
        <v/>
      </c>
      <c r="O118" s="44">
        <f>IF($I118&lt;&gt;"",IFERROR(INDEX(RateCard[Sell Price (charged to client, per shift)],MATCH($I118,RateCard[Officer Type],0)),0),N($L118))</f>
        <v/>
      </c>
      <c r="P118" s="45">
        <f>IF($I118&lt;&gt;"",IFERROR(INDEX(RateCard[PSIRA Grade],MATCH($I118,RateCard[Officer Type],0)),"N/A"),"N/A")</f>
        <v/>
      </c>
      <c r="Q118" s="44">
        <f>IF($B118="LINE ITEM",N($H118)*N($O118)*N($M118),"")</f>
        <v/>
      </c>
      <c r="R118" s="43">
        <f>IF($B118="SECTION HEADER",$C118&amp;": "&amp;TEXT($D118,"dddd d mmmm yyyy")&amp;" - "&amp;$E118&amp;" ("&amp;TEXT($F118,"hh""h""mm")&amp;" - "&amp;TEXT($G118,"hh""h""mm")&amp;")","")</f>
        <v/>
      </c>
      <c r="S118" s="43">
        <f>IF($B118="SECTION HEADER",$R118,S117)</f>
        <v/>
      </c>
    </row>
    <row r="119">
      <c r="B119" s="36" t="n"/>
      <c r="C119" s="36" t="n"/>
      <c r="D119" s="37" t="n"/>
      <c r="E119" s="38" t="n"/>
      <c r="F119" s="39" t="n"/>
      <c r="G119" s="39" t="n"/>
      <c r="H119" s="38" t="n"/>
      <c r="I119" s="40" t="n"/>
      <c r="J119" s="41" t="n"/>
      <c r="K119" s="41" t="n"/>
      <c r="L119" s="42" t="n"/>
      <c r="M119" s="38" t="n"/>
      <c r="N119" s="43">
        <f>IF($I119&lt;&gt;"",$I119&amp;IF(OR($P119="N/A",$P119=""),""," "&amp;$P119)&amp;IF(T($K119)&lt;&gt;"",": "&amp;$K119,""),T($J119))</f>
        <v/>
      </c>
      <c r="O119" s="44">
        <f>IF($I119&lt;&gt;"",IFERROR(INDEX(RateCard[Sell Price (charged to client, per shift)],MATCH($I119,RateCard[Officer Type],0)),0),N($L119))</f>
        <v/>
      </c>
      <c r="P119" s="45">
        <f>IF($I119&lt;&gt;"",IFERROR(INDEX(RateCard[PSIRA Grade],MATCH($I119,RateCard[Officer Type],0)),"N/A"),"N/A")</f>
        <v/>
      </c>
      <c r="Q119" s="44">
        <f>IF($B119="LINE ITEM",N($H119)*N($O119)*N($M119),"")</f>
        <v/>
      </c>
      <c r="R119" s="43">
        <f>IF($B119="SECTION HEADER",$C119&amp;": "&amp;TEXT($D119,"dddd d mmmm yyyy")&amp;" - "&amp;$E119&amp;" ("&amp;TEXT($F119,"hh""h""mm")&amp;" - "&amp;TEXT($G119,"hh""h""mm")&amp;")","")</f>
        <v/>
      </c>
      <c r="S119" s="43">
        <f>IF($B119="SECTION HEADER",$R119,S118)</f>
        <v/>
      </c>
    </row>
    <row r="120">
      <c r="B120" s="36" t="n"/>
      <c r="C120" s="36" t="n"/>
      <c r="D120" s="37" t="n"/>
      <c r="E120" s="38" t="n"/>
      <c r="F120" s="39" t="n"/>
      <c r="G120" s="39" t="n"/>
      <c r="H120" s="38" t="n"/>
      <c r="I120" s="40" t="n"/>
      <c r="J120" s="41" t="n"/>
      <c r="K120" s="41" t="n"/>
      <c r="L120" s="42" t="n"/>
      <c r="M120" s="38" t="n"/>
      <c r="N120" s="43">
        <f>IF($I120&lt;&gt;"",$I120&amp;IF(OR($P120="N/A",$P120=""),""," "&amp;$P120)&amp;IF(T($K120)&lt;&gt;"",": "&amp;$K120,""),T($J120))</f>
        <v/>
      </c>
      <c r="O120" s="44">
        <f>IF($I120&lt;&gt;"",IFERROR(INDEX(RateCard[Sell Price (charged to client, per shift)],MATCH($I120,RateCard[Officer Type],0)),0),N($L120))</f>
        <v/>
      </c>
      <c r="P120" s="45">
        <f>IF($I120&lt;&gt;"",IFERROR(INDEX(RateCard[PSIRA Grade],MATCH($I120,RateCard[Officer Type],0)),"N/A"),"N/A")</f>
        <v/>
      </c>
      <c r="Q120" s="44">
        <f>IF($B120="LINE ITEM",N($H120)*N($O120)*N($M120),"")</f>
        <v/>
      </c>
      <c r="R120" s="43">
        <f>IF($B120="SECTION HEADER",$C120&amp;": "&amp;TEXT($D120,"dddd d mmmm yyyy")&amp;" - "&amp;$E120&amp;" ("&amp;TEXT($F120,"hh""h""mm")&amp;" - "&amp;TEXT($G120,"hh""h""mm")&amp;")","")</f>
        <v/>
      </c>
      <c r="S120" s="43">
        <f>IF($B120="SECTION HEADER",$R120,S119)</f>
        <v/>
      </c>
    </row>
    <row r="121">
      <c r="B121" s="36" t="n"/>
      <c r="C121" s="36" t="n"/>
      <c r="D121" s="37" t="n"/>
      <c r="E121" s="38" t="n"/>
      <c r="F121" s="39" t="n"/>
      <c r="G121" s="39" t="n"/>
      <c r="H121" s="38" t="n"/>
      <c r="I121" s="40" t="n"/>
      <c r="J121" s="41" t="n"/>
      <c r="K121" s="41" t="n"/>
      <c r="L121" s="42" t="n"/>
      <c r="M121" s="38" t="n"/>
      <c r="N121" s="43">
        <f>IF($I121&lt;&gt;"",$I121&amp;IF(OR($P121="N/A",$P121=""),""," "&amp;$P121)&amp;IF(T($K121)&lt;&gt;"",": "&amp;$K121,""),T($J121))</f>
        <v/>
      </c>
      <c r="O121" s="44">
        <f>IF($I121&lt;&gt;"",IFERROR(INDEX(RateCard[Sell Price (charged to client, per shift)],MATCH($I121,RateCard[Officer Type],0)),0),N($L121))</f>
        <v/>
      </c>
      <c r="P121" s="45">
        <f>IF($I121&lt;&gt;"",IFERROR(INDEX(RateCard[PSIRA Grade],MATCH($I121,RateCard[Officer Type],0)),"N/A"),"N/A")</f>
        <v/>
      </c>
      <c r="Q121" s="44">
        <f>IF($B121="LINE ITEM",N($H121)*N($O121)*N($M121),"")</f>
        <v/>
      </c>
      <c r="R121" s="43">
        <f>IF($B121="SECTION HEADER",$C121&amp;": "&amp;TEXT($D121,"dddd d mmmm yyyy")&amp;" - "&amp;$E121&amp;" ("&amp;TEXT($F121,"hh""h""mm")&amp;" - "&amp;TEXT($G121,"hh""h""mm")&amp;")","")</f>
        <v/>
      </c>
      <c r="S121" s="43">
        <f>IF($B121="SECTION HEADER",$R121,S120)</f>
        <v/>
      </c>
    </row>
    <row r="122">
      <c r="B122" s="36" t="n"/>
      <c r="C122" s="36" t="n"/>
      <c r="D122" s="37" t="n"/>
      <c r="E122" s="38" t="n"/>
      <c r="F122" s="39" t="n"/>
      <c r="G122" s="39" t="n"/>
      <c r="H122" s="38" t="n"/>
      <c r="I122" s="40" t="n"/>
      <c r="J122" s="41" t="n"/>
      <c r="K122" s="41" t="n"/>
      <c r="L122" s="42" t="n"/>
      <c r="M122" s="38" t="n"/>
      <c r="N122" s="43">
        <f>IF($I122&lt;&gt;"",$I122&amp;IF(OR($P122="N/A",$P122=""),""," "&amp;$P122)&amp;IF(T($K122)&lt;&gt;"",": "&amp;$K122,""),T($J122))</f>
        <v/>
      </c>
      <c r="O122" s="44">
        <f>IF($I122&lt;&gt;"",IFERROR(INDEX(RateCard[Sell Price (charged to client, per shift)],MATCH($I122,RateCard[Officer Type],0)),0),N($L122))</f>
        <v/>
      </c>
      <c r="P122" s="45">
        <f>IF($I122&lt;&gt;"",IFERROR(INDEX(RateCard[PSIRA Grade],MATCH($I122,RateCard[Officer Type],0)),"N/A"),"N/A")</f>
        <v/>
      </c>
      <c r="Q122" s="44">
        <f>IF($B122="LINE ITEM",N($H122)*N($O122)*N($M122),"")</f>
        <v/>
      </c>
      <c r="R122" s="43">
        <f>IF($B122="SECTION HEADER",$C122&amp;": "&amp;TEXT($D122,"dddd d mmmm yyyy")&amp;" - "&amp;$E122&amp;" ("&amp;TEXT($F122,"hh""h""mm")&amp;" - "&amp;TEXT($G122,"hh""h""mm")&amp;")","")</f>
        <v/>
      </c>
      <c r="S122" s="43">
        <f>IF($B122="SECTION HEADER",$R122,S121)</f>
        <v/>
      </c>
    </row>
    <row r="123">
      <c r="B123" s="36" t="n"/>
      <c r="C123" s="36" t="n"/>
      <c r="D123" s="37" t="n"/>
      <c r="E123" s="38" t="n"/>
      <c r="F123" s="39" t="n"/>
      <c r="G123" s="39" t="n"/>
      <c r="H123" s="38" t="n"/>
      <c r="I123" s="40" t="n"/>
      <c r="J123" s="41" t="n"/>
      <c r="K123" s="41" t="n"/>
      <c r="L123" s="42" t="n"/>
      <c r="M123" s="38" t="n"/>
      <c r="N123" s="43">
        <f>IF($I123&lt;&gt;"",$I123&amp;IF(OR($P123="N/A",$P123=""),""," "&amp;$P123)&amp;IF(T($K123)&lt;&gt;"",": "&amp;$K123,""),T($J123))</f>
        <v/>
      </c>
      <c r="O123" s="44">
        <f>IF($I123&lt;&gt;"",IFERROR(INDEX(RateCard[Sell Price (charged to client, per shift)],MATCH($I123,RateCard[Officer Type],0)),0),N($L123))</f>
        <v/>
      </c>
      <c r="P123" s="45">
        <f>IF($I123&lt;&gt;"",IFERROR(INDEX(RateCard[PSIRA Grade],MATCH($I123,RateCard[Officer Type],0)),"N/A"),"N/A")</f>
        <v/>
      </c>
      <c r="Q123" s="44">
        <f>IF($B123="LINE ITEM",N($H123)*N($O123)*N($M123),"")</f>
        <v/>
      </c>
      <c r="R123" s="43">
        <f>IF($B123="SECTION HEADER",$C123&amp;": "&amp;TEXT($D123,"dddd d mmmm yyyy")&amp;" - "&amp;$E123&amp;" ("&amp;TEXT($F123,"hh""h""mm")&amp;" - "&amp;TEXT($G123,"hh""h""mm")&amp;")","")</f>
        <v/>
      </c>
      <c r="S123" s="43">
        <f>IF($B123="SECTION HEADER",$R123,S122)</f>
        <v/>
      </c>
    </row>
    <row r="124">
      <c r="B124" s="36" t="n"/>
      <c r="C124" s="36" t="n"/>
      <c r="D124" s="37" t="n"/>
      <c r="E124" s="38" t="n"/>
      <c r="F124" s="39" t="n"/>
      <c r="G124" s="39" t="n"/>
      <c r="H124" s="38" t="n"/>
      <c r="I124" s="40" t="n"/>
      <c r="J124" s="41" t="n"/>
      <c r="K124" s="41" t="n"/>
      <c r="L124" s="42" t="n"/>
      <c r="M124" s="38" t="n"/>
      <c r="N124" s="43">
        <f>IF($I124&lt;&gt;"",$I124&amp;IF(OR($P124="N/A",$P124=""),""," "&amp;$P124)&amp;IF(T($K124)&lt;&gt;"",": "&amp;$K124,""),T($J124))</f>
        <v/>
      </c>
      <c r="O124" s="44">
        <f>IF($I124&lt;&gt;"",IFERROR(INDEX(RateCard[Sell Price (charged to client, per shift)],MATCH($I124,RateCard[Officer Type],0)),0),N($L124))</f>
        <v/>
      </c>
      <c r="P124" s="45">
        <f>IF($I124&lt;&gt;"",IFERROR(INDEX(RateCard[PSIRA Grade],MATCH($I124,RateCard[Officer Type],0)),"N/A"),"N/A")</f>
        <v/>
      </c>
      <c r="Q124" s="44">
        <f>IF($B124="LINE ITEM",N($H124)*N($O124)*N($M124),"")</f>
        <v/>
      </c>
      <c r="R124" s="43">
        <f>IF($B124="SECTION HEADER",$C124&amp;": "&amp;TEXT($D124,"dddd d mmmm yyyy")&amp;" - "&amp;$E124&amp;" ("&amp;TEXT($F124,"hh""h""mm")&amp;" - "&amp;TEXT($G124,"hh""h""mm")&amp;")","")</f>
        <v/>
      </c>
      <c r="S124" s="43">
        <f>IF($B124="SECTION HEADER",$R124,S123)</f>
        <v/>
      </c>
    </row>
    <row r="125">
      <c r="B125" s="36" t="n"/>
      <c r="C125" s="36" t="n"/>
      <c r="D125" s="37" t="n"/>
      <c r="E125" s="38" t="n"/>
      <c r="F125" s="39" t="n"/>
      <c r="G125" s="39" t="n"/>
      <c r="H125" s="38" t="n"/>
      <c r="I125" s="40" t="n"/>
      <c r="J125" s="41" t="n"/>
      <c r="K125" s="41" t="n"/>
      <c r="L125" s="42" t="n"/>
      <c r="M125" s="38" t="n"/>
      <c r="N125" s="43">
        <f>IF($I125&lt;&gt;"",$I125&amp;IF(OR($P125="N/A",$P125=""),""," "&amp;$P125)&amp;IF(T($K125)&lt;&gt;"",": "&amp;$K125,""),T($J125))</f>
        <v/>
      </c>
      <c r="O125" s="44">
        <f>IF($I125&lt;&gt;"",IFERROR(INDEX(RateCard[Sell Price (charged to client, per shift)],MATCH($I125,RateCard[Officer Type],0)),0),N($L125))</f>
        <v/>
      </c>
      <c r="P125" s="45">
        <f>IF($I125&lt;&gt;"",IFERROR(INDEX(RateCard[PSIRA Grade],MATCH($I125,RateCard[Officer Type],0)),"N/A"),"N/A")</f>
        <v/>
      </c>
      <c r="Q125" s="44">
        <f>IF($B125="LINE ITEM",N($H125)*N($O125)*N($M125),"")</f>
        <v/>
      </c>
      <c r="R125" s="43">
        <f>IF($B125="SECTION HEADER",$C125&amp;": "&amp;TEXT($D125,"dddd d mmmm yyyy")&amp;" - "&amp;$E125&amp;" ("&amp;TEXT($F125,"hh""h""mm")&amp;" - "&amp;TEXT($G125,"hh""h""mm")&amp;")","")</f>
        <v/>
      </c>
      <c r="S125" s="43">
        <f>IF($B125="SECTION HEADER",$R125,S124)</f>
        <v/>
      </c>
    </row>
    <row r="126">
      <c r="B126" s="36" t="n"/>
      <c r="C126" s="36" t="n"/>
      <c r="D126" s="37" t="n"/>
      <c r="E126" s="38" t="n"/>
      <c r="F126" s="39" t="n"/>
      <c r="G126" s="39" t="n"/>
      <c r="H126" s="38" t="n"/>
      <c r="I126" s="40" t="n"/>
      <c r="J126" s="41" t="n"/>
      <c r="K126" s="41" t="n"/>
      <c r="L126" s="42" t="n"/>
      <c r="M126" s="38" t="n"/>
      <c r="N126" s="43">
        <f>IF($I126&lt;&gt;"",$I126&amp;IF(OR($P126="N/A",$P126=""),""," "&amp;$P126)&amp;IF(T($K126)&lt;&gt;"",": "&amp;$K126,""),T($J126))</f>
        <v/>
      </c>
      <c r="O126" s="44">
        <f>IF($I126&lt;&gt;"",IFERROR(INDEX(RateCard[Sell Price (charged to client, per shift)],MATCH($I126,RateCard[Officer Type],0)),0),N($L126))</f>
        <v/>
      </c>
      <c r="P126" s="45">
        <f>IF($I126&lt;&gt;"",IFERROR(INDEX(RateCard[PSIRA Grade],MATCH($I126,RateCard[Officer Type],0)),"N/A"),"N/A")</f>
        <v/>
      </c>
      <c r="Q126" s="44">
        <f>IF($B126="LINE ITEM",N($H126)*N($O126)*N($M126),"")</f>
        <v/>
      </c>
      <c r="R126" s="43">
        <f>IF($B126="SECTION HEADER",$C126&amp;": "&amp;TEXT($D126,"dddd d mmmm yyyy")&amp;" - "&amp;$E126&amp;" ("&amp;TEXT($F126,"hh""h""mm")&amp;" - "&amp;TEXT($G126,"hh""h""mm")&amp;")","")</f>
        <v/>
      </c>
      <c r="S126" s="43">
        <f>IF($B126="SECTION HEADER",$R126,S125)</f>
        <v/>
      </c>
    </row>
    <row r="127">
      <c r="B127" s="36" t="n"/>
      <c r="C127" s="36" t="n"/>
      <c r="D127" s="37" t="n"/>
      <c r="E127" s="38" t="n"/>
      <c r="F127" s="39" t="n"/>
      <c r="G127" s="39" t="n"/>
      <c r="H127" s="38" t="n"/>
      <c r="I127" s="40" t="n"/>
      <c r="J127" s="41" t="n"/>
      <c r="K127" s="41" t="n"/>
      <c r="L127" s="42" t="n"/>
      <c r="M127" s="38" t="n"/>
      <c r="N127" s="43">
        <f>IF($I127&lt;&gt;"",$I127&amp;IF(OR($P127="N/A",$P127=""),""," "&amp;$P127)&amp;IF(T($K127)&lt;&gt;"",": "&amp;$K127,""),T($J127))</f>
        <v/>
      </c>
      <c r="O127" s="44">
        <f>IF($I127&lt;&gt;"",IFERROR(INDEX(RateCard[Sell Price (charged to client, per shift)],MATCH($I127,RateCard[Officer Type],0)),0),N($L127))</f>
        <v/>
      </c>
      <c r="P127" s="45">
        <f>IF($I127&lt;&gt;"",IFERROR(INDEX(RateCard[PSIRA Grade],MATCH($I127,RateCard[Officer Type],0)),"N/A"),"N/A")</f>
        <v/>
      </c>
      <c r="Q127" s="44">
        <f>IF($B127="LINE ITEM",N($H127)*N($O127)*N($M127),"")</f>
        <v/>
      </c>
      <c r="R127" s="43">
        <f>IF($B127="SECTION HEADER",$C127&amp;": "&amp;TEXT($D127,"dddd d mmmm yyyy")&amp;" - "&amp;$E127&amp;" ("&amp;TEXT($F127,"hh""h""mm")&amp;" - "&amp;TEXT($G127,"hh""h""mm")&amp;")","")</f>
        <v/>
      </c>
      <c r="S127" s="43">
        <f>IF($B127="SECTION HEADER",$R127,S126)</f>
        <v/>
      </c>
    </row>
    <row r="128">
      <c r="B128" s="36" t="n"/>
      <c r="C128" s="36" t="n"/>
      <c r="D128" s="37" t="n"/>
      <c r="E128" s="38" t="n"/>
      <c r="F128" s="39" t="n"/>
      <c r="G128" s="39" t="n"/>
      <c r="H128" s="38" t="n"/>
      <c r="I128" s="40" t="n"/>
      <c r="J128" s="41" t="n"/>
      <c r="K128" s="41" t="n"/>
      <c r="L128" s="42" t="n"/>
      <c r="M128" s="38" t="n"/>
      <c r="N128" s="43">
        <f>IF($I128&lt;&gt;"",$I128&amp;IF(OR($P128="N/A",$P128=""),""," "&amp;$P128)&amp;IF(T($K128)&lt;&gt;"",": "&amp;$K128,""),T($J128))</f>
        <v/>
      </c>
      <c r="O128" s="44">
        <f>IF($I128&lt;&gt;"",IFERROR(INDEX(RateCard[Sell Price (charged to client, per shift)],MATCH($I128,RateCard[Officer Type],0)),0),N($L128))</f>
        <v/>
      </c>
      <c r="P128" s="45">
        <f>IF($I128&lt;&gt;"",IFERROR(INDEX(RateCard[PSIRA Grade],MATCH($I128,RateCard[Officer Type],0)),"N/A"),"N/A")</f>
        <v/>
      </c>
      <c r="Q128" s="44">
        <f>IF($B128="LINE ITEM",N($H128)*N($O128)*N($M128),"")</f>
        <v/>
      </c>
      <c r="R128" s="43">
        <f>IF($B128="SECTION HEADER",$C128&amp;": "&amp;TEXT($D128,"dddd d mmmm yyyy")&amp;" - "&amp;$E128&amp;" ("&amp;TEXT($F128,"hh""h""mm")&amp;" - "&amp;TEXT($G128,"hh""h""mm")&amp;")","")</f>
        <v/>
      </c>
      <c r="S128" s="43">
        <f>IF($B128="SECTION HEADER",$R128,S127)</f>
        <v/>
      </c>
    </row>
    <row r="129">
      <c r="B129" s="36" t="n"/>
      <c r="C129" s="36" t="n"/>
      <c r="D129" s="37" t="n"/>
      <c r="E129" s="38" t="n"/>
      <c r="F129" s="39" t="n"/>
      <c r="G129" s="39" t="n"/>
      <c r="H129" s="38" t="n"/>
      <c r="I129" s="40" t="n"/>
      <c r="J129" s="41" t="n"/>
      <c r="K129" s="41" t="n"/>
      <c r="L129" s="42" t="n"/>
      <c r="M129" s="38" t="n"/>
      <c r="N129" s="43">
        <f>IF($I129&lt;&gt;"",$I129&amp;IF(OR($P129="N/A",$P129=""),""," "&amp;$P129)&amp;IF(T($K129)&lt;&gt;"",": "&amp;$K129,""),T($J129))</f>
        <v/>
      </c>
      <c r="O129" s="44">
        <f>IF($I129&lt;&gt;"",IFERROR(INDEX(RateCard[Sell Price (charged to client, per shift)],MATCH($I129,RateCard[Officer Type],0)),0),N($L129))</f>
        <v/>
      </c>
      <c r="P129" s="45">
        <f>IF($I129&lt;&gt;"",IFERROR(INDEX(RateCard[PSIRA Grade],MATCH($I129,RateCard[Officer Type],0)),"N/A"),"N/A")</f>
        <v/>
      </c>
      <c r="Q129" s="44">
        <f>IF($B129="LINE ITEM",N($H129)*N($O129)*N($M129),"")</f>
        <v/>
      </c>
      <c r="R129" s="43">
        <f>IF($B129="SECTION HEADER",$C129&amp;": "&amp;TEXT($D129,"dddd d mmmm yyyy")&amp;" - "&amp;$E129&amp;" ("&amp;TEXT($F129,"hh""h""mm")&amp;" - "&amp;TEXT($G129,"hh""h""mm")&amp;")","")</f>
        <v/>
      </c>
      <c r="S129" s="43">
        <f>IF($B129="SECTION HEADER",$R129,S128)</f>
        <v/>
      </c>
    </row>
    <row r="130">
      <c r="B130" s="36" t="n"/>
      <c r="C130" s="36" t="n"/>
      <c r="D130" s="37" t="n"/>
      <c r="E130" s="38" t="n"/>
      <c r="F130" s="39" t="n"/>
      <c r="G130" s="39" t="n"/>
      <c r="H130" s="38" t="n"/>
      <c r="I130" s="40" t="n"/>
      <c r="J130" s="41" t="n"/>
      <c r="K130" s="41" t="n"/>
      <c r="L130" s="42" t="n"/>
      <c r="M130" s="38" t="n"/>
      <c r="N130" s="43">
        <f>IF($I130&lt;&gt;"",$I130&amp;IF(OR($P130="N/A",$P130=""),""," "&amp;$P130)&amp;IF(T($K130)&lt;&gt;"",": "&amp;$K130,""),T($J130))</f>
        <v/>
      </c>
      <c r="O130" s="44">
        <f>IF($I130&lt;&gt;"",IFERROR(INDEX(RateCard[Sell Price (charged to client, per shift)],MATCH($I130,RateCard[Officer Type],0)),0),N($L130))</f>
        <v/>
      </c>
      <c r="P130" s="45">
        <f>IF($I130&lt;&gt;"",IFERROR(INDEX(RateCard[PSIRA Grade],MATCH($I130,RateCard[Officer Type],0)),"N/A"),"N/A")</f>
        <v/>
      </c>
      <c r="Q130" s="44">
        <f>IF($B130="LINE ITEM",N($H130)*N($O130)*N($M130),"")</f>
        <v/>
      </c>
      <c r="R130" s="43">
        <f>IF($B130="SECTION HEADER",$C130&amp;": "&amp;TEXT($D130,"dddd d mmmm yyyy")&amp;" - "&amp;$E130&amp;" ("&amp;TEXT($F130,"hh""h""mm")&amp;" - "&amp;TEXT($G130,"hh""h""mm")&amp;")","")</f>
        <v/>
      </c>
      <c r="S130" s="43">
        <f>IF($B130="SECTION HEADER",$R130,S129)</f>
        <v/>
      </c>
    </row>
    <row r="131">
      <c r="B131" s="36" t="n"/>
      <c r="C131" s="36" t="n"/>
      <c r="D131" s="37" t="n"/>
      <c r="E131" s="38" t="n"/>
      <c r="F131" s="39" t="n"/>
      <c r="G131" s="39" t="n"/>
      <c r="H131" s="38" t="n"/>
      <c r="I131" s="40" t="n"/>
      <c r="J131" s="41" t="n"/>
      <c r="K131" s="41" t="n"/>
      <c r="L131" s="42" t="n"/>
      <c r="M131" s="38" t="n"/>
      <c r="N131" s="43">
        <f>IF($I131&lt;&gt;"",$I131&amp;IF(OR($P131="N/A",$P131=""),""," "&amp;$P131)&amp;IF(T($K131)&lt;&gt;"",": "&amp;$K131,""),T($J131))</f>
        <v/>
      </c>
      <c r="O131" s="44">
        <f>IF($I131&lt;&gt;"",IFERROR(INDEX(RateCard[Sell Price (charged to client, per shift)],MATCH($I131,RateCard[Officer Type],0)),0),N($L131))</f>
        <v/>
      </c>
      <c r="P131" s="45">
        <f>IF($I131&lt;&gt;"",IFERROR(INDEX(RateCard[PSIRA Grade],MATCH($I131,RateCard[Officer Type],0)),"N/A"),"N/A")</f>
        <v/>
      </c>
      <c r="Q131" s="44">
        <f>IF($B131="LINE ITEM",N($H131)*N($O131)*N($M131),"")</f>
        <v/>
      </c>
      <c r="R131" s="43">
        <f>IF($B131="SECTION HEADER",$C131&amp;": "&amp;TEXT($D131,"dddd d mmmm yyyy")&amp;" - "&amp;$E131&amp;" ("&amp;TEXT($F131,"hh""h""mm")&amp;" - "&amp;TEXT($G131,"hh""h""mm")&amp;")","")</f>
        <v/>
      </c>
      <c r="S131" s="43">
        <f>IF($B131="SECTION HEADER",$R131,S130)</f>
        <v/>
      </c>
    </row>
    <row r="132">
      <c r="B132" s="36" t="n"/>
      <c r="C132" s="36" t="n"/>
      <c r="D132" s="37" t="n"/>
      <c r="E132" s="38" t="n"/>
      <c r="F132" s="39" t="n"/>
      <c r="G132" s="39" t="n"/>
      <c r="H132" s="38" t="n"/>
      <c r="I132" s="40" t="n"/>
      <c r="J132" s="41" t="n"/>
      <c r="K132" s="41" t="n"/>
      <c r="L132" s="42" t="n"/>
      <c r="M132" s="38" t="n"/>
      <c r="N132" s="43">
        <f>IF($I132&lt;&gt;"",$I132&amp;IF(OR($P132="N/A",$P132=""),""," "&amp;$P132)&amp;IF(T($K132)&lt;&gt;"",": "&amp;$K132,""),T($J132))</f>
        <v/>
      </c>
      <c r="O132" s="44">
        <f>IF($I132&lt;&gt;"",IFERROR(INDEX(RateCard[Sell Price (charged to client, per shift)],MATCH($I132,RateCard[Officer Type],0)),0),N($L132))</f>
        <v/>
      </c>
      <c r="P132" s="45">
        <f>IF($I132&lt;&gt;"",IFERROR(INDEX(RateCard[PSIRA Grade],MATCH($I132,RateCard[Officer Type],0)),"N/A"),"N/A")</f>
        <v/>
      </c>
      <c r="Q132" s="44">
        <f>IF($B132="LINE ITEM",N($H132)*N($O132)*N($M132),"")</f>
        <v/>
      </c>
      <c r="R132" s="43">
        <f>IF($B132="SECTION HEADER",$C132&amp;": "&amp;TEXT($D132,"dddd d mmmm yyyy")&amp;" - "&amp;$E132&amp;" ("&amp;TEXT($F132,"hh""h""mm")&amp;" - "&amp;TEXT($G132,"hh""h""mm")&amp;")","")</f>
        <v/>
      </c>
      <c r="S132" s="43">
        <f>IF($B132="SECTION HEADER",$R132,S131)</f>
        <v/>
      </c>
    </row>
    <row r="133">
      <c r="B133" s="36" t="n"/>
      <c r="C133" s="36" t="n"/>
      <c r="D133" s="37" t="n"/>
      <c r="E133" s="38" t="n"/>
      <c r="F133" s="39" t="n"/>
      <c r="G133" s="39" t="n"/>
      <c r="H133" s="38" t="n"/>
      <c r="I133" s="40" t="n"/>
      <c r="J133" s="41" t="n"/>
      <c r="K133" s="41" t="n"/>
      <c r="L133" s="42" t="n"/>
      <c r="M133" s="38" t="n"/>
      <c r="N133" s="43">
        <f>IF($I133&lt;&gt;"",$I133&amp;IF(OR($P133="N/A",$P133=""),""," "&amp;$P133)&amp;IF(T($K133)&lt;&gt;"",": "&amp;$K133,""),T($J133))</f>
        <v/>
      </c>
      <c r="O133" s="44">
        <f>IF($I133&lt;&gt;"",IFERROR(INDEX(RateCard[Sell Price (charged to client, per shift)],MATCH($I133,RateCard[Officer Type],0)),0),N($L133))</f>
        <v/>
      </c>
      <c r="P133" s="45">
        <f>IF($I133&lt;&gt;"",IFERROR(INDEX(RateCard[PSIRA Grade],MATCH($I133,RateCard[Officer Type],0)),"N/A"),"N/A")</f>
        <v/>
      </c>
      <c r="Q133" s="44">
        <f>IF($B133="LINE ITEM",N($H133)*N($O133)*N($M133),"")</f>
        <v/>
      </c>
      <c r="R133" s="43">
        <f>IF($B133="SECTION HEADER",$C133&amp;": "&amp;TEXT($D133,"dddd d mmmm yyyy")&amp;" - "&amp;$E133&amp;" ("&amp;TEXT($F133,"hh""h""mm")&amp;" - "&amp;TEXT($G133,"hh""h""mm")&amp;")","")</f>
        <v/>
      </c>
      <c r="S133" s="43">
        <f>IF($B133="SECTION HEADER",$R133,S132)</f>
        <v/>
      </c>
    </row>
    <row r="134">
      <c r="B134" s="36" t="n"/>
      <c r="C134" s="36" t="n"/>
      <c r="D134" s="37" t="n"/>
      <c r="E134" s="38" t="n"/>
      <c r="F134" s="39" t="n"/>
      <c r="G134" s="39" t="n"/>
      <c r="H134" s="38" t="n"/>
      <c r="I134" s="40" t="n"/>
      <c r="J134" s="41" t="n"/>
      <c r="K134" s="41" t="n"/>
      <c r="L134" s="42" t="n"/>
      <c r="M134" s="38" t="n"/>
      <c r="N134" s="43">
        <f>IF($I134&lt;&gt;"",$I134&amp;IF(OR($P134="N/A",$P134=""),""," "&amp;$P134)&amp;IF(T($K134)&lt;&gt;"",": "&amp;$K134,""),T($J134))</f>
        <v/>
      </c>
      <c r="O134" s="44">
        <f>IF($I134&lt;&gt;"",IFERROR(INDEX(RateCard[Sell Price (charged to client, per shift)],MATCH($I134,RateCard[Officer Type],0)),0),N($L134))</f>
        <v/>
      </c>
      <c r="P134" s="45">
        <f>IF($I134&lt;&gt;"",IFERROR(INDEX(RateCard[PSIRA Grade],MATCH($I134,RateCard[Officer Type],0)),"N/A"),"N/A")</f>
        <v/>
      </c>
      <c r="Q134" s="44">
        <f>IF($B134="LINE ITEM",N($H134)*N($O134)*N($M134),"")</f>
        <v/>
      </c>
      <c r="R134" s="43">
        <f>IF($B134="SECTION HEADER",$C134&amp;": "&amp;TEXT($D134,"dddd d mmmm yyyy")&amp;" - "&amp;$E134&amp;" ("&amp;TEXT($F134,"hh""h""mm")&amp;" - "&amp;TEXT($G134,"hh""h""mm")&amp;")","")</f>
        <v/>
      </c>
      <c r="S134" s="43">
        <f>IF($B134="SECTION HEADER",$R134,S133)</f>
        <v/>
      </c>
    </row>
    <row r="135">
      <c r="B135" s="36" t="n"/>
      <c r="C135" s="36" t="n"/>
      <c r="D135" s="37" t="n"/>
      <c r="E135" s="38" t="n"/>
      <c r="F135" s="39" t="n"/>
      <c r="G135" s="39" t="n"/>
      <c r="H135" s="38" t="n"/>
      <c r="I135" s="40" t="n"/>
      <c r="J135" s="41" t="n"/>
      <c r="K135" s="41" t="n"/>
      <c r="L135" s="42" t="n"/>
      <c r="M135" s="38" t="n"/>
      <c r="N135" s="43">
        <f>IF($I135&lt;&gt;"",$I135&amp;IF(OR($P135="N/A",$P135=""),""," "&amp;$P135)&amp;IF(T($K135)&lt;&gt;"",": "&amp;$K135,""),T($J135))</f>
        <v/>
      </c>
      <c r="O135" s="44">
        <f>IF($I135&lt;&gt;"",IFERROR(INDEX(RateCard[Sell Price (charged to client, per shift)],MATCH($I135,RateCard[Officer Type],0)),0),N($L135))</f>
        <v/>
      </c>
      <c r="P135" s="45">
        <f>IF($I135&lt;&gt;"",IFERROR(INDEX(RateCard[PSIRA Grade],MATCH($I135,RateCard[Officer Type],0)),"N/A"),"N/A")</f>
        <v/>
      </c>
      <c r="Q135" s="44">
        <f>IF($B135="LINE ITEM",N($H135)*N($O135)*N($M135),"")</f>
        <v/>
      </c>
      <c r="R135" s="43">
        <f>IF($B135="SECTION HEADER",$C135&amp;": "&amp;TEXT($D135,"dddd d mmmm yyyy")&amp;" - "&amp;$E135&amp;" ("&amp;TEXT($F135,"hh""h""mm")&amp;" - "&amp;TEXT($G135,"hh""h""mm")&amp;")","")</f>
        <v/>
      </c>
      <c r="S135" s="43">
        <f>IF($B135="SECTION HEADER",$R135,S134)</f>
        <v/>
      </c>
    </row>
    <row r="136">
      <c r="B136" s="36" t="n"/>
      <c r="C136" s="36" t="n"/>
      <c r="D136" s="37" t="n"/>
      <c r="E136" s="38" t="n"/>
      <c r="F136" s="39" t="n"/>
      <c r="G136" s="39" t="n"/>
      <c r="H136" s="38" t="n"/>
      <c r="I136" s="40" t="n"/>
      <c r="J136" s="41" t="n"/>
      <c r="K136" s="41" t="n"/>
      <c r="L136" s="42" t="n"/>
      <c r="M136" s="38" t="n"/>
      <c r="N136" s="43">
        <f>IF($I136&lt;&gt;"",$I136&amp;IF(OR($P136="N/A",$P136=""),""," "&amp;$P136)&amp;IF(T($K136)&lt;&gt;"",": "&amp;$K136,""),T($J136))</f>
        <v/>
      </c>
      <c r="O136" s="44">
        <f>IF($I136&lt;&gt;"",IFERROR(INDEX(RateCard[Sell Price (charged to client, per shift)],MATCH($I136,RateCard[Officer Type],0)),0),N($L136))</f>
        <v/>
      </c>
      <c r="P136" s="45">
        <f>IF($I136&lt;&gt;"",IFERROR(INDEX(RateCard[PSIRA Grade],MATCH($I136,RateCard[Officer Type],0)),"N/A"),"N/A")</f>
        <v/>
      </c>
      <c r="Q136" s="44">
        <f>IF($B136="LINE ITEM",N($H136)*N($O136)*N($M136),"")</f>
        <v/>
      </c>
      <c r="R136" s="43">
        <f>IF($B136="SECTION HEADER",$C136&amp;": "&amp;TEXT($D136,"dddd d mmmm yyyy")&amp;" - "&amp;$E136&amp;" ("&amp;TEXT($F136,"hh""h""mm")&amp;" - "&amp;TEXT($G136,"hh""h""mm")&amp;")","")</f>
        <v/>
      </c>
      <c r="S136" s="43">
        <f>IF($B136="SECTION HEADER",$R136,S135)</f>
        <v/>
      </c>
    </row>
    <row r="137">
      <c r="B137" s="36" t="n"/>
      <c r="C137" s="36" t="n"/>
      <c r="D137" s="37" t="n"/>
      <c r="E137" s="38" t="n"/>
      <c r="F137" s="39" t="n"/>
      <c r="G137" s="39" t="n"/>
      <c r="H137" s="38" t="n"/>
      <c r="I137" s="40" t="n"/>
      <c r="J137" s="41" t="n"/>
      <c r="K137" s="41" t="n"/>
      <c r="L137" s="42" t="n"/>
      <c r="M137" s="38" t="n"/>
      <c r="N137" s="43">
        <f>IF($I137&lt;&gt;"",$I137&amp;IF(OR($P137="N/A",$P137=""),""," "&amp;$P137)&amp;IF(T($K137)&lt;&gt;"",": "&amp;$K137,""),T($J137))</f>
        <v/>
      </c>
      <c r="O137" s="44">
        <f>IF($I137&lt;&gt;"",IFERROR(INDEX(RateCard[Sell Price (charged to client, per shift)],MATCH($I137,RateCard[Officer Type],0)),0),N($L137))</f>
        <v/>
      </c>
      <c r="P137" s="45">
        <f>IF($I137&lt;&gt;"",IFERROR(INDEX(RateCard[PSIRA Grade],MATCH($I137,RateCard[Officer Type],0)),"N/A"),"N/A")</f>
        <v/>
      </c>
      <c r="Q137" s="44">
        <f>IF($B137="LINE ITEM",N($H137)*N($O137)*N($M137),"")</f>
        <v/>
      </c>
      <c r="R137" s="43">
        <f>IF($B137="SECTION HEADER",$C137&amp;": "&amp;TEXT($D137,"dddd d mmmm yyyy")&amp;" - "&amp;$E137&amp;" ("&amp;TEXT($F137,"hh""h""mm")&amp;" - "&amp;TEXT($G137,"hh""h""mm")&amp;")","")</f>
        <v/>
      </c>
      <c r="S137" s="43">
        <f>IF($B137="SECTION HEADER",$R137,S136)</f>
        <v/>
      </c>
    </row>
    <row r="138">
      <c r="B138" s="36" t="n"/>
      <c r="C138" s="36" t="n"/>
      <c r="D138" s="37" t="n"/>
      <c r="E138" s="38" t="n"/>
      <c r="F138" s="39" t="n"/>
      <c r="G138" s="39" t="n"/>
      <c r="H138" s="38" t="n"/>
      <c r="I138" s="40" t="n"/>
      <c r="J138" s="41" t="n"/>
      <c r="K138" s="41" t="n"/>
      <c r="L138" s="42" t="n"/>
      <c r="M138" s="38" t="n"/>
      <c r="N138" s="43">
        <f>IF($I138&lt;&gt;"",$I138&amp;IF(OR($P138="N/A",$P138=""),""," "&amp;$P138)&amp;IF(T($K138)&lt;&gt;"",": "&amp;$K138,""),T($J138))</f>
        <v/>
      </c>
      <c r="O138" s="44">
        <f>IF($I138&lt;&gt;"",IFERROR(INDEX(RateCard[Sell Price (charged to client, per shift)],MATCH($I138,RateCard[Officer Type],0)),0),N($L138))</f>
        <v/>
      </c>
      <c r="P138" s="45">
        <f>IF($I138&lt;&gt;"",IFERROR(INDEX(RateCard[PSIRA Grade],MATCH($I138,RateCard[Officer Type],0)),"N/A"),"N/A")</f>
        <v/>
      </c>
      <c r="Q138" s="44">
        <f>IF($B138="LINE ITEM",N($H138)*N($O138)*N($M138),"")</f>
        <v/>
      </c>
      <c r="R138" s="43">
        <f>IF($B138="SECTION HEADER",$C138&amp;": "&amp;TEXT($D138,"dddd d mmmm yyyy")&amp;" - "&amp;$E138&amp;" ("&amp;TEXT($F138,"hh""h""mm")&amp;" - "&amp;TEXT($G138,"hh""h""mm")&amp;")","")</f>
        <v/>
      </c>
      <c r="S138" s="43">
        <f>IF($B138="SECTION HEADER",$R138,S137)</f>
        <v/>
      </c>
    </row>
    <row r="139">
      <c r="B139" s="36" t="n"/>
      <c r="C139" s="36" t="n"/>
      <c r="D139" s="37" t="n"/>
      <c r="E139" s="38" t="n"/>
      <c r="F139" s="39" t="n"/>
      <c r="G139" s="39" t="n"/>
      <c r="H139" s="38" t="n"/>
      <c r="I139" s="40" t="n"/>
      <c r="J139" s="41" t="n"/>
      <c r="K139" s="41" t="n"/>
      <c r="L139" s="42" t="n"/>
      <c r="M139" s="38" t="n"/>
      <c r="N139" s="43">
        <f>IF($I139&lt;&gt;"",$I139&amp;IF(OR($P139="N/A",$P139=""),""," "&amp;$P139)&amp;IF(T($K139)&lt;&gt;"",": "&amp;$K139,""),T($J139))</f>
        <v/>
      </c>
      <c r="O139" s="44">
        <f>IF($I139&lt;&gt;"",IFERROR(INDEX(RateCard[Sell Price (charged to client, per shift)],MATCH($I139,RateCard[Officer Type],0)),0),N($L139))</f>
        <v/>
      </c>
      <c r="P139" s="45">
        <f>IF($I139&lt;&gt;"",IFERROR(INDEX(RateCard[PSIRA Grade],MATCH($I139,RateCard[Officer Type],0)),"N/A"),"N/A")</f>
        <v/>
      </c>
      <c r="Q139" s="44">
        <f>IF($B139="LINE ITEM",N($H139)*N($O139)*N($M139),"")</f>
        <v/>
      </c>
      <c r="R139" s="43">
        <f>IF($B139="SECTION HEADER",$C139&amp;": "&amp;TEXT($D139,"dddd d mmmm yyyy")&amp;" - "&amp;$E139&amp;" ("&amp;TEXT($F139,"hh""h""mm")&amp;" - "&amp;TEXT($G139,"hh""h""mm")&amp;")","")</f>
        <v/>
      </c>
      <c r="S139" s="43">
        <f>IF($B139="SECTION HEADER",$R139,S138)</f>
        <v/>
      </c>
    </row>
    <row r="140">
      <c r="B140" s="36" t="n"/>
      <c r="C140" s="36" t="n"/>
      <c r="D140" s="37" t="n"/>
      <c r="E140" s="38" t="n"/>
      <c r="F140" s="39" t="n"/>
      <c r="G140" s="39" t="n"/>
      <c r="H140" s="38" t="n"/>
      <c r="I140" s="40" t="n"/>
      <c r="J140" s="41" t="n"/>
      <c r="K140" s="41" t="n"/>
      <c r="L140" s="42" t="n"/>
      <c r="M140" s="38" t="n"/>
      <c r="N140" s="43">
        <f>IF($I140&lt;&gt;"",$I140&amp;IF(OR($P140="N/A",$P140=""),""," "&amp;$P140)&amp;IF(T($K140)&lt;&gt;"",": "&amp;$K140,""),T($J140))</f>
        <v/>
      </c>
      <c r="O140" s="44">
        <f>IF($I140&lt;&gt;"",IFERROR(INDEX(RateCard[Sell Price (charged to client, per shift)],MATCH($I140,RateCard[Officer Type],0)),0),N($L140))</f>
        <v/>
      </c>
      <c r="P140" s="45">
        <f>IF($I140&lt;&gt;"",IFERROR(INDEX(RateCard[PSIRA Grade],MATCH($I140,RateCard[Officer Type],0)),"N/A"),"N/A")</f>
        <v/>
      </c>
      <c r="Q140" s="44">
        <f>IF($B140="LINE ITEM",N($H140)*N($O140)*N($M140),"")</f>
        <v/>
      </c>
      <c r="R140" s="43">
        <f>IF($B140="SECTION HEADER",$C140&amp;": "&amp;TEXT($D140,"dddd d mmmm yyyy")&amp;" - "&amp;$E140&amp;" ("&amp;TEXT($F140,"hh""h""mm")&amp;" - "&amp;TEXT($G140,"hh""h""mm")&amp;")","")</f>
        <v/>
      </c>
      <c r="S140" s="43">
        <f>IF($B140="SECTION HEADER",$R140,S139)</f>
        <v/>
      </c>
    </row>
    <row r="141">
      <c r="B141" s="36" t="n"/>
      <c r="C141" s="36" t="n"/>
      <c r="D141" s="37" t="n"/>
      <c r="E141" s="38" t="n"/>
      <c r="F141" s="39" t="n"/>
      <c r="G141" s="39" t="n"/>
      <c r="H141" s="38" t="n"/>
      <c r="I141" s="40" t="n"/>
      <c r="J141" s="41" t="n"/>
      <c r="K141" s="41" t="n"/>
      <c r="L141" s="42" t="n"/>
      <c r="M141" s="38" t="n"/>
      <c r="N141" s="43">
        <f>IF($I141&lt;&gt;"",$I141&amp;IF(OR($P141="N/A",$P141=""),""," "&amp;$P141)&amp;IF(T($K141)&lt;&gt;"",": "&amp;$K141,""),T($J141))</f>
        <v/>
      </c>
      <c r="O141" s="44">
        <f>IF($I141&lt;&gt;"",IFERROR(INDEX(RateCard[Sell Price (charged to client, per shift)],MATCH($I141,RateCard[Officer Type],0)),0),N($L141))</f>
        <v/>
      </c>
      <c r="P141" s="45">
        <f>IF($I141&lt;&gt;"",IFERROR(INDEX(RateCard[PSIRA Grade],MATCH($I141,RateCard[Officer Type],0)),"N/A"),"N/A")</f>
        <v/>
      </c>
      <c r="Q141" s="44">
        <f>IF($B141="LINE ITEM",N($H141)*N($O141)*N($M141),"")</f>
        <v/>
      </c>
      <c r="R141" s="43">
        <f>IF($B141="SECTION HEADER",$C141&amp;": "&amp;TEXT($D141,"dddd d mmmm yyyy")&amp;" - "&amp;$E141&amp;" ("&amp;TEXT($F141,"hh""h""mm")&amp;" - "&amp;TEXT($G141,"hh""h""mm")&amp;")","")</f>
        <v/>
      </c>
      <c r="S141" s="43">
        <f>IF($B141="SECTION HEADER",$R141,S140)</f>
        <v/>
      </c>
    </row>
    <row r="142">
      <c r="B142" s="36" t="n"/>
      <c r="C142" s="36" t="n"/>
      <c r="D142" s="37" t="n"/>
      <c r="E142" s="38" t="n"/>
      <c r="F142" s="39" t="n"/>
      <c r="G142" s="39" t="n"/>
      <c r="H142" s="38" t="n"/>
      <c r="I142" s="40" t="n"/>
      <c r="J142" s="41" t="n"/>
      <c r="K142" s="41" t="n"/>
      <c r="L142" s="42" t="n"/>
      <c r="M142" s="38" t="n"/>
      <c r="N142" s="43">
        <f>IF($I142&lt;&gt;"",$I142&amp;IF(OR($P142="N/A",$P142=""),""," "&amp;$P142)&amp;IF(T($K142)&lt;&gt;"",": "&amp;$K142,""),T($J142))</f>
        <v/>
      </c>
      <c r="O142" s="44">
        <f>IF($I142&lt;&gt;"",IFERROR(INDEX(RateCard[Sell Price (charged to client, per shift)],MATCH($I142,RateCard[Officer Type],0)),0),N($L142))</f>
        <v/>
      </c>
      <c r="P142" s="45">
        <f>IF($I142&lt;&gt;"",IFERROR(INDEX(RateCard[PSIRA Grade],MATCH($I142,RateCard[Officer Type],0)),"N/A"),"N/A")</f>
        <v/>
      </c>
      <c r="Q142" s="44">
        <f>IF($B142="LINE ITEM",N($H142)*N($O142)*N($M142),"")</f>
        <v/>
      </c>
      <c r="R142" s="43">
        <f>IF($B142="SECTION HEADER",$C142&amp;": "&amp;TEXT($D142,"dddd d mmmm yyyy")&amp;" - "&amp;$E142&amp;" ("&amp;TEXT($F142,"hh""h""mm")&amp;" - "&amp;TEXT($G142,"hh""h""mm")&amp;")","")</f>
        <v/>
      </c>
      <c r="S142" s="43">
        <f>IF($B142="SECTION HEADER",$R142,S141)</f>
        <v/>
      </c>
    </row>
    <row r="143">
      <c r="B143" s="36" t="n"/>
      <c r="C143" s="36" t="n"/>
      <c r="D143" s="37" t="n"/>
      <c r="E143" s="38" t="n"/>
      <c r="F143" s="39" t="n"/>
      <c r="G143" s="39" t="n"/>
      <c r="H143" s="38" t="n"/>
      <c r="I143" s="40" t="n"/>
      <c r="J143" s="41" t="n"/>
      <c r="K143" s="41" t="n"/>
      <c r="L143" s="42" t="n"/>
      <c r="M143" s="38" t="n"/>
      <c r="N143" s="43">
        <f>IF($I143&lt;&gt;"",$I143&amp;IF(OR($P143="N/A",$P143=""),""," "&amp;$P143)&amp;IF(T($K143)&lt;&gt;"",": "&amp;$K143,""),T($J143))</f>
        <v/>
      </c>
      <c r="O143" s="44">
        <f>IF($I143&lt;&gt;"",IFERROR(INDEX(RateCard[Sell Price (charged to client, per shift)],MATCH($I143,RateCard[Officer Type],0)),0),N($L143))</f>
        <v/>
      </c>
      <c r="P143" s="45">
        <f>IF($I143&lt;&gt;"",IFERROR(INDEX(RateCard[PSIRA Grade],MATCH($I143,RateCard[Officer Type],0)),"N/A"),"N/A")</f>
        <v/>
      </c>
      <c r="Q143" s="44">
        <f>IF($B143="LINE ITEM",N($H143)*N($O143)*N($M143),"")</f>
        <v/>
      </c>
      <c r="R143" s="43">
        <f>IF($B143="SECTION HEADER",$C143&amp;": "&amp;TEXT($D143,"dddd d mmmm yyyy")&amp;" - "&amp;$E143&amp;" ("&amp;TEXT($F143,"hh""h""mm")&amp;" - "&amp;TEXT($G143,"hh""h""mm")&amp;")","")</f>
        <v/>
      </c>
      <c r="S143" s="43">
        <f>IF($B143="SECTION HEADER",$R143,S142)</f>
        <v/>
      </c>
    </row>
    <row r="144">
      <c r="B144" s="36" t="n"/>
      <c r="C144" s="36" t="n"/>
      <c r="D144" s="37" t="n"/>
      <c r="E144" s="38" t="n"/>
      <c r="F144" s="39" t="n"/>
      <c r="G144" s="39" t="n"/>
      <c r="H144" s="38" t="n"/>
      <c r="I144" s="40" t="n"/>
      <c r="J144" s="41" t="n"/>
      <c r="K144" s="41" t="n"/>
      <c r="L144" s="42" t="n"/>
      <c r="M144" s="38" t="n"/>
      <c r="N144" s="43">
        <f>IF($I144&lt;&gt;"",$I144&amp;IF(OR($P144="N/A",$P144=""),""," "&amp;$P144)&amp;IF(T($K144)&lt;&gt;"",": "&amp;$K144,""),T($J144))</f>
        <v/>
      </c>
      <c r="O144" s="44">
        <f>IF($I144&lt;&gt;"",IFERROR(INDEX(RateCard[Sell Price (charged to client, per shift)],MATCH($I144,RateCard[Officer Type],0)),0),N($L144))</f>
        <v/>
      </c>
      <c r="P144" s="45">
        <f>IF($I144&lt;&gt;"",IFERROR(INDEX(RateCard[PSIRA Grade],MATCH($I144,RateCard[Officer Type],0)),"N/A"),"N/A")</f>
        <v/>
      </c>
      <c r="Q144" s="44">
        <f>IF($B144="LINE ITEM",N($H144)*N($O144)*N($M144),"")</f>
        <v/>
      </c>
      <c r="R144" s="43">
        <f>IF($B144="SECTION HEADER",$C144&amp;": "&amp;TEXT($D144,"dddd d mmmm yyyy")&amp;" - "&amp;$E144&amp;" ("&amp;TEXT($F144,"hh""h""mm")&amp;" - "&amp;TEXT($G144,"hh""h""mm")&amp;")","")</f>
        <v/>
      </c>
      <c r="S144" s="43">
        <f>IF($B144="SECTION HEADER",$R144,S143)</f>
        <v/>
      </c>
    </row>
    <row r="145">
      <c r="B145" s="36" t="n"/>
      <c r="C145" s="36" t="n"/>
      <c r="D145" s="37" t="n"/>
      <c r="E145" s="38" t="n"/>
      <c r="F145" s="39" t="n"/>
      <c r="G145" s="39" t="n"/>
      <c r="H145" s="38" t="n"/>
      <c r="I145" s="40" t="n"/>
      <c r="J145" s="41" t="n"/>
      <c r="K145" s="41" t="n"/>
      <c r="L145" s="42" t="n"/>
      <c r="M145" s="38" t="n"/>
      <c r="N145" s="43">
        <f>IF($I145&lt;&gt;"",$I145&amp;IF(OR($P145="N/A",$P145=""),""," "&amp;$P145)&amp;IF(T($K145)&lt;&gt;"",": "&amp;$K145,""),T($J145))</f>
        <v/>
      </c>
      <c r="O145" s="44">
        <f>IF($I145&lt;&gt;"",IFERROR(INDEX(RateCard[Sell Price (charged to client, per shift)],MATCH($I145,RateCard[Officer Type],0)),0),N($L145))</f>
        <v/>
      </c>
      <c r="P145" s="45">
        <f>IF($I145&lt;&gt;"",IFERROR(INDEX(RateCard[PSIRA Grade],MATCH($I145,RateCard[Officer Type],0)),"N/A"),"N/A")</f>
        <v/>
      </c>
      <c r="Q145" s="44">
        <f>IF($B145="LINE ITEM",N($H145)*N($O145)*N($M145),"")</f>
        <v/>
      </c>
      <c r="R145" s="43">
        <f>IF($B145="SECTION HEADER",$C145&amp;": "&amp;TEXT($D145,"dddd d mmmm yyyy")&amp;" - "&amp;$E145&amp;" ("&amp;TEXT($F145,"hh""h""mm")&amp;" - "&amp;TEXT($G145,"hh""h""mm")&amp;")","")</f>
        <v/>
      </c>
      <c r="S145" s="43">
        <f>IF($B145="SECTION HEADER",$R145,S144)</f>
        <v/>
      </c>
    </row>
    <row r="146">
      <c r="B146" s="36" t="n"/>
      <c r="C146" s="36" t="n"/>
      <c r="D146" s="37" t="n"/>
      <c r="E146" s="38" t="n"/>
      <c r="F146" s="39" t="n"/>
      <c r="G146" s="39" t="n"/>
      <c r="H146" s="38" t="n"/>
      <c r="I146" s="40" t="n"/>
      <c r="J146" s="41" t="n"/>
      <c r="K146" s="41" t="n"/>
      <c r="L146" s="42" t="n"/>
      <c r="M146" s="38" t="n"/>
      <c r="N146" s="43">
        <f>IF($I146&lt;&gt;"",$I146&amp;IF(OR($P146="N/A",$P146=""),""," "&amp;$P146)&amp;IF(T($K146)&lt;&gt;"",": "&amp;$K146,""),T($J146))</f>
        <v/>
      </c>
      <c r="O146" s="44">
        <f>IF($I146&lt;&gt;"",IFERROR(INDEX(RateCard[Sell Price (charged to client, per shift)],MATCH($I146,RateCard[Officer Type],0)),0),N($L146))</f>
        <v/>
      </c>
      <c r="P146" s="45">
        <f>IF($I146&lt;&gt;"",IFERROR(INDEX(RateCard[PSIRA Grade],MATCH($I146,RateCard[Officer Type],0)),"N/A"),"N/A")</f>
        <v/>
      </c>
      <c r="Q146" s="44">
        <f>IF($B146="LINE ITEM",N($H146)*N($O146)*N($M146),"")</f>
        <v/>
      </c>
      <c r="R146" s="43">
        <f>IF($B146="SECTION HEADER",$C146&amp;": "&amp;TEXT($D146,"dddd d mmmm yyyy")&amp;" - "&amp;$E146&amp;" ("&amp;TEXT($F146,"hh""h""mm")&amp;" - "&amp;TEXT($G146,"hh""h""mm")&amp;")","")</f>
        <v/>
      </c>
      <c r="S146" s="43">
        <f>IF($B146="SECTION HEADER",$R146,S145)</f>
        <v/>
      </c>
    </row>
    <row r="147">
      <c r="B147" s="36" t="n"/>
      <c r="C147" s="36" t="n"/>
      <c r="D147" s="37" t="n"/>
      <c r="E147" s="38" t="n"/>
      <c r="F147" s="39" t="n"/>
      <c r="G147" s="39" t="n"/>
      <c r="H147" s="38" t="n"/>
      <c r="I147" s="40" t="n"/>
      <c r="J147" s="41" t="n"/>
      <c r="K147" s="41" t="n"/>
      <c r="L147" s="42" t="n"/>
      <c r="M147" s="38" t="n"/>
      <c r="N147" s="43">
        <f>IF($I147&lt;&gt;"",$I147&amp;IF(OR($P147="N/A",$P147=""),""," "&amp;$P147)&amp;IF(T($K147)&lt;&gt;"",": "&amp;$K147,""),T($J147))</f>
        <v/>
      </c>
      <c r="O147" s="44">
        <f>IF($I147&lt;&gt;"",IFERROR(INDEX(RateCard[Sell Price (charged to client, per shift)],MATCH($I147,RateCard[Officer Type],0)),0),N($L147))</f>
        <v/>
      </c>
      <c r="P147" s="45">
        <f>IF($I147&lt;&gt;"",IFERROR(INDEX(RateCard[PSIRA Grade],MATCH($I147,RateCard[Officer Type],0)),"N/A"),"N/A")</f>
        <v/>
      </c>
      <c r="Q147" s="44">
        <f>IF($B147="LINE ITEM",N($H147)*N($O147)*N($M147),"")</f>
        <v/>
      </c>
      <c r="R147" s="43">
        <f>IF($B147="SECTION HEADER",$C147&amp;": "&amp;TEXT($D147,"dddd d mmmm yyyy")&amp;" - "&amp;$E147&amp;" ("&amp;TEXT($F147,"hh""h""mm")&amp;" - "&amp;TEXT($G147,"hh""h""mm")&amp;")","")</f>
        <v/>
      </c>
      <c r="S147" s="43">
        <f>IF($B147="SECTION HEADER",$R147,S146)</f>
        <v/>
      </c>
    </row>
    <row r="148">
      <c r="B148" s="36" t="n"/>
      <c r="C148" s="36" t="n"/>
      <c r="D148" s="37" t="n"/>
      <c r="E148" s="38" t="n"/>
      <c r="F148" s="39" t="n"/>
      <c r="G148" s="39" t="n"/>
      <c r="H148" s="38" t="n"/>
      <c r="I148" s="40" t="n"/>
      <c r="J148" s="41" t="n"/>
      <c r="K148" s="41" t="n"/>
      <c r="L148" s="42" t="n"/>
      <c r="M148" s="38" t="n"/>
      <c r="N148" s="43">
        <f>IF($I148&lt;&gt;"",$I148&amp;IF(OR($P148="N/A",$P148=""),""," "&amp;$P148)&amp;IF(T($K148)&lt;&gt;"",": "&amp;$K148,""),T($J148))</f>
        <v/>
      </c>
      <c r="O148" s="44">
        <f>IF($I148&lt;&gt;"",IFERROR(INDEX(RateCard[Sell Price (charged to client, per shift)],MATCH($I148,RateCard[Officer Type],0)),0),N($L148))</f>
        <v/>
      </c>
      <c r="P148" s="45">
        <f>IF($I148&lt;&gt;"",IFERROR(INDEX(RateCard[PSIRA Grade],MATCH($I148,RateCard[Officer Type],0)),"N/A"),"N/A")</f>
        <v/>
      </c>
      <c r="Q148" s="44">
        <f>IF($B148="LINE ITEM",N($H148)*N($O148)*N($M148),"")</f>
        <v/>
      </c>
      <c r="R148" s="43">
        <f>IF($B148="SECTION HEADER",$C148&amp;": "&amp;TEXT($D148,"dddd d mmmm yyyy")&amp;" - "&amp;$E148&amp;" ("&amp;TEXT($F148,"hh""h""mm")&amp;" - "&amp;TEXT($G148,"hh""h""mm")&amp;")","")</f>
        <v/>
      </c>
      <c r="S148" s="43">
        <f>IF($B148="SECTION HEADER",$R148,S147)</f>
        <v/>
      </c>
    </row>
    <row r="149">
      <c r="B149" s="36" t="n"/>
      <c r="C149" s="36" t="n"/>
      <c r="D149" s="37" t="n"/>
      <c r="E149" s="38" t="n"/>
      <c r="F149" s="39" t="n"/>
      <c r="G149" s="39" t="n"/>
      <c r="H149" s="38" t="n"/>
      <c r="I149" s="40" t="n"/>
      <c r="J149" s="41" t="n"/>
      <c r="K149" s="41" t="n"/>
      <c r="L149" s="42" t="n"/>
      <c r="M149" s="38" t="n"/>
      <c r="N149" s="43">
        <f>IF($I149&lt;&gt;"",$I149&amp;IF(OR($P149="N/A",$P149=""),""," "&amp;$P149)&amp;IF(T($K149)&lt;&gt;"",": "&amp;$K149,""),T($J149))</f>
        <v/>
      </c>
      <c r="O149" s="44">
        <f>IF($I149&lt;&gt;"",IFERROR(INDEX(RateCard[Sell Price (charged to client, per shift)],MATCH($I149,RateCard[Officer Type],0)),0),N($L149))</f>
        <v/>
      </c>
      <c r="P149" s="45">
        <f>IF($I149&lt;&gt;"",IFERROR(INDEX(RateCard[PSIRA Grade],MATCH($I149,RateCard[Officer Type],0)),"N/A"),"N/A")</f>
        <v/>
      </c>
      <c r="Q149" s="44">
        <f>IF($B149="LINE ITEM",N($H149)*N($O149)*N($M149),"")</f>
        <v/>
      </c>
      <c r="R149" s="43">
        <f>IF($B149="SECTION HEADER",$C149&amp;": "&amp;TEXT($D149,"dddd d mmmm yyyy")&amp;" - "&amp;$E149&amp;" ("&amp;TEXT($F149,"hh""h""mm")&amp;" - "&amp;TEXT($G149,"hh""h""mm")&amp;")","")</f>
        <v/>
      </c>
      <c r="S149" s="43">
        <f>IF($B149="SECTION HEADER",$R149,S148)</f>
        <v/>
      </c>
    </row>
    <row r="150">
      <c r="B150" s="36" t="n"/>
      <c r="C150" s="36" t="n"/>
      <c r="D150" s="37" t="n"/>
      <c r="E150" s="38" t="n"/>
      <c r="F150" s="39" t="n"/>
      <c r="G150" s="39" t="n"/>
      <c r="H150" s="38" t="n"/>
      <c r="I150" s="40" t="n"/>
      <c r="J150" s="41" t="n"/>
      <c r="K150" s="41" t="n"/>
      <c r="L150" s="42" t="n"/>
      <c r="M150" s="38" t="n"/>
      <c r="N150" s="43">
        <f>IF($I150&lt;&gt;"",$I150&amp;IF(OR($P150="N/A",$P150=""),""," "&amp;$P150)&amp;IF(T($K150)&lt;&gt;"",": "&amp;$K150,""),T($J150))</f>
        <v/>
      </c>
      <c r="O150" s="44">
        <f>IF($I150&lt;&gt;"",IFERROR(INDEX(RateCard[Sell Price (charged to client, per shift)],MATCH($I150,RateCard[Officer Type],0)),0),N($L150))</f>
        <v/>
      </c>
      <c r="P150" s="45">
        <f>IF($I150&lt;&gt;"",IFERROR(INDEX(RateCard[PSIRA Grade],MATCH($I150,RateCard[Officer Type],0)),"N/A"),"N/A")</f>
        <v/>
      </c>
      <c r="Q150" s="44">
        <f>IF($B150="LINE ITEM",N($H150)*N($O150)*N($M150),"")</f>
        <v/>
      </c>
      <c r="R150" s="43">
        <f>IF($B150="SECTION HEADER",$C150&amp;": "&amp;TEXT($D150,"dddd d mmmm yyyy")&amp;" - "&amp;$E150&amp;" ("&amp;TEXT($F150,"hh""h""mm")&amp;" - "&amp;TEXT($G150,"hh""h""mm")&amp;")","")</f>
        <v/>
      </c>
      <c r="S150" s="43">
        <f>IF($B150="SECTION HEADER",$R150,S149)</f>
        <v/>
      </c>
    </row>
    <row r="151">
      <c r="B151" s="36" t="n"/>
      <c r="C151" s="36" t="n"/>
      <c r="D151" s="37" t="n"/>
      <c r="E151" s="38" t="n"/>
      <c r="F151" s="39" t="n"/>
      <c r="G151" s="39" t="n"/>
      <c r="H151" s="38" t="n"/>
      <c r="I151" s="40" t="n"/>
      <c r="J151" s="41" t="n"/>
      <c r="K151" s="41" t="n"/>
      <c r="L151" s="42" t="n"/>
      <c r="M151" s="38" t="n"/>
      <c r="N151" s="43">
        <f>IF($I151&lt;&gt;"",$I151&amp;IF(OR($P151="N/A",$P151=""),""," "&amp;$P151)&amp;IF(T($K151)&lt;&gt;"",": "&amp;$K151,""),T($J151))</f>
        <v/>
      </c>
      <c r="O151" s="44">
        <f>IF($I151&lt;&gt;"",IFERROR(INDEX(RateCard[Sell Price (charged to client, per shift)],MATCH($I151,RateCard[Officer Type],0)),0),N($L151))</f>
        <v/>
      </c>
      <c r="P151" s="45">
        <f>IF($I151&lt;&gt;"",IFERROR(INDEX(RateCard[PSIRA Grade],MATCH($I151,RateCard[Officer Type],0)),"N/A"),"N/A")</f>
        <v/>
      </c>
      <c r="Q151" s="44">
        <f>IF($B151="LINE ITEM",N($H151)*N($O151)*N($M151),"")</f>
        <v/>
      </c>
      <c r="R151" s="43">
        <f>IF($B151="SECTION HEADER",$C151&amp;": "&amp;TEXT($D151,"dddd d mmmm yyyy")&amp;" - "&amp;$E151&amp;" ("&amp;TEXT($F151,"hh""h""mm")&amp;" - "&amp;TEXT($G151,"hh""h""mm")&amp;")","")</f>
        <v/>
      </c>
      <c r="S151" s="43">
        <f>IF($B151="SECTION HEADER",$R151,S150)</f>
        <v/>
      </c>
    </row>
    <row r="152">
      <c r="B152" s="36" t="n"/>
      <c r="C152" s="36" t="n"/>
      <c r="D152" s="37" t="n"/>
      <c r="E152" s="38" t="n"/>
      <c r="F152" s="39" t="n"/>
      <c r="G152" s="39" t="n"/>
      <c r="H152" s="38" t="n"/>
      <c r="I152" s="40" t="n"/>
      <c r="J152" s="41" t="n"/>
      <c r="K152" s="41" t="n"/>
      <c r="L152" s="42" t="n"/>
      <c r="M152" s="38" t="n"/>
      <c r="N152" s="43">
        <f>IF($I152&lt;&gt;"",$I152&amp;IF(OR($P152="N/A",$P152=""),""," "&amp;$P152)&amp;IF(T($K152)&lt;&gt;"",": "&amp;$K152,""),T($J152))</f>
        <v/>
      </c>
      <c r="O152" s="44">
        <f>IF($I152&lt;&gt;"",IFERROR(INDEX(RateCard[Sell Price (charged to client, per shift)],MATCH($I152,RateCard[Officer Type],0)),0),N($L152))</f>
        <v/>
      </c>
      <c r="P152" s="45">
        <f>IF($I152&lt;&gt;"",IFERROR(INDEX(RateCard[PSIRA Grade],MATCH($I152,RateCard[Officer Type],0)),"N/A"),"N/A")</f>
        <v/>
      </c>
      <c r="Q152" s="44">
        <f>IF($B152="LINE ITEM",N($H152)*N($O152)*N($M152),"")</f>
        <v/>
      </c>
      <c r="R152" s="43">
        <f>IF($B152="SECTION HEADER",$C152&amp;": "&amp;TEXT($D152,"dddd d mmmm yyyy")&amp;" - "&amp;$E152&amp;" ("&amp;TEXT($F152,"hh""h""mm")&amp;" - "&amp;TEXT($G152,"hh""h""mm")&amp;")","")</f>
        <v/>
      </c>
      <c r="S152" s="43">
        <f>IF($B152="SECTION HEADER",$R152,S151)</f>
        <v/>
      </c>
    </row>
    <row r="153">
      <c r="B153" s="36" t="n"/>
      <c r="C153" s="36" t="n"/>
      <c r="D153" s="37" t="n"/>
      <c r="E153" s="38" t="n"/>
      <c r="F153" s="39" t="n"/>
      <c r="G153" s="39" t="n"/>
      <c r="H153" s="38" t="n"/>
      <c r="I153" s="40" t="n"/>
      <c r="J153" s="41" t="n"/>
      <c r="K153" s="41" t="n"/>
      <c r="L153" s="42" t="n"/>
      <c r="M153" s="38" t="n"/>
      <c r="N153" s="43">
        <f>IF($I153&lt;&gt;"",$I153&amp;IF(OR($P153="N/A",$P153=""),""," "&amp;$P153)&amp;IF(T($K153)&lt;&gt;"",": "&amp;$K153,""),T($J153))</f>
        <v/>
      </c>
      <c r="O153" s="44">
        <f>IF($I153&lt;&gt;"",IFERROR(INDEX(RateCard[Sell Price (charged to client, per shift)],MATCH($I153,RateCard[Officer Type],0)),0),N($L153))</f>
        <v/>
      </c>
      <c r="P153" s="45">
        <f>IF($I153&lt;&gt;"",IFERROR(INDEX(RateCard[PSIRA Grade],MATCH($I153,RateCard[Officer Type],0)),"N/A"),"N/A")</f>
        <v/>
      </c>
      <c r="Q153" s="44">
        <f>IF($B153="LINE ITEM",N($H153)*N($O153)*N($M153),"")</f>
        <v/>
      </c>
      <c r="R153" s="43">
        <f>IF($B153="SECTION HEADER",$C153&amp;": "&amp;TEXT($D153,"dddd d mmmm yyyy")&amp;" - "&amp;$E153&amp;" ("&amp;TEXT($F153,"hh""h""mm")&amp;" - "&amp;TEXT($G153,"hh""h""mm")&amp;")","")</f>
        <v/>
      </c>
      <c r="S153" s="43">
        <f>IF($B153="SECTION HEADER",$R153,S152)</f>
        <v/>
      </c>
    </row>
    <row r="154">
      <c r="B154" s="36" t="n"/>
      <c r="C154" s="36" t="n"/>
      <c r="D154" s="37" t="n"/>
      <c r="E154" s="38" t="n"/>
      <c r="F154" s="39" t="n"/>
      <c r="G154" s="39" t="n"/>
      <c r="H154" s="38" t="n"/>
      <c r="I154" s="40" t="n"/>
      <c r="J154" s="41" t="n"/>
      <c r="K154" s="41" t="n"/>
      <c r="L154" s="42" t="n"/>
      <c r="M154" s="38" t="n"/>
      <c r="N154" s="43">
        <f>IF($I154&lt;&gt;"",$I154&amp;IF(OR($P154="N/A",$P154=""),""," "&amp;$P154)&amp;IF(T($K154)&lt;&gt;"",": "&amp;$K154,""),T($J154))</f>
        <v/>
      </c>
      <c r="O154" s="44">
        <f>IF($I154&lt;&gt;"",IFERROR(INDEX(RateCard[Sell Price (charged to client, per shift)],MATCH($I154,RateCard[Officer Type],0)),0),N($L154))</f>
        <v/>
      </c>
      <c r="P154" s="45">
        <f>IF($I154&lt;&gt;"",IFERROR(INDEX(RateCard[PSIRA Grade],MATCH($I154,RateCard[Officer Type],0)),"N/A"),"N/A")</f>
        <v/>
      </c>
      <c r="Q154" s="44">
        <f>IF($B154="LINE ITEM",N($H154)*N($O154)*N($M154),"")</f>
        <v/>
      </c>
      <c r="R154" s="43">
        <f>IF($B154="SECTION HEADER",$C154&amp;": "&amp;TEXT($D154,"dddd d mmmm yyyy")&amp;" - "&amp;$E154&amp;" ("&amp;TEXT($F154,"hh""h""mm")&amp;" - "&amp;TEXT($G154,"hh""h""mm")&amp;")","")</f>
        <v/>
      </c>
      <c r="S154" s="43">
        <f>IF($B154="SECTION HEADER",$R154,S153)</f>
        <v/>
      </c>
    </row>
  </sheetData>
  <sheetProtection selectLockedCells="0" selectUnlockedCells="0" sheet="1" objects="1" insertRows="1" insertHyperlinks="1" autoFilter="1" scenarios="1" formatColumns="1" deleteColumns="1" insertColumns="1" pivotTables="1" deleteRows="1" formatCells="1" formatRows="1" sort="1"/>
  <mergeCells count="4">
    <mergeCell ref="N1:S1"/>
    <mergeCell ref="B2:M2"/>
    <mergeCell ref="N2:S2"/>
    <mergeCell ref="B1:M1"/>
  </mergeCells>
  <dataValidations count="3">
    <dataValidation sqref="B5:B154" showDropDown="0" showInputMessage="0" showErrorMessage="0" allowBlank="1" errorTitle="Invalid entry" error="Please choose a value from the dropdown list." promptTitle="Row Type" prompt="Choose SECTION HEADER to start a new date/shift block, or LINE ITEM to add a cost line under it." type="list">
      <formula1>"SECTION HEADER,LINE ITEM"</formula1>
      <formula2>0</formula2>
    </dataValidation>
    <dataValidation sqref="C5:C154" showDropDown="0" showInputMessage="0" showErrorMessage="0" allowBlank="1" errorTitle="Invalid entry" error="Please choose a value from the dropdown list." promptTitle="Category" prompt="Only needed on SECTION HEADER rows." type="list">
      <formula1>"BUILD-UP,EVENT,BREAKDOWN,PARKING,CLEANING,MEDICS,FENCING,EVENT COMPLIANCE &amp; JOC,TRAFFIC MANAGEMENT,ENGINEERING,ACOUSTIC,OTHER"</formula1>
      <formula2>0</formula2>
    </dataValidation>
    <dataValidation sqref="E5:E154" showDropDown="0" showInputMessage="0" showErrorMessage="0" allowBlank="1" errorTitle="Invalid entry" error="Please choose a value from the dropdown list." promptTitle="Shift" prompt="Only needed on SECTION HEADER rows." type="list">
      <formula1>"Day Shift,Night Shift,Morning Shift,Afternoon Shift,Full Day,24-Hour Shift,Custom Shift"</formula1>
      <formula2>0</formula2>
    </dataValidation>
  </dataValidations>
  <pageMargins left="0.4" right="0.4" top="0.5" bottom="0.5" header="0.511811023622047" footer="0.511811023622047"/>
  <pageSetup orientation="landscape" fitToHeight="0" horizontalDpi="300" verticalDpi="30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B1:J195"/>
  <sheetViews>
    <sheetView showGridLines="0" tabSelected="1" zoomScale="87" zoomScaleNormal="100" workbookViewId="0">
      <pane xSplit="1" ySplit="22" topLeftCell="B23" activePane="bottomRight" state="frozen"/>
      <selection pane="topRight" activeCell="B1" sqref="B1"/>
      <selection pane="bottomLeft" activeCell="A23" sqref="A23"/>
      <selection pane="bottomRight" activeCell="B48" sqref="B48"/>
    </sheetView>
  </sheetViews>
  <sheetFormatPr baseColWidth="10" defaultColWidth="8.6640625" defaultRowHeight="15"/>
  <cols>
    <col width="2.1640625" customWidth="1" style="63" min="1" max="1"/>
    <col width="15" customWidth="1" style="63" min="2" max="2"/>
    <col width="73.83203125" bestFit="1" customWidth="1" style="63" min="3" max="3"/>
    <col width="24.83203125" customWidth="1" style="63" min="4" max="4"/>
    <col width="15.33203125" customWidth="1" style="63" min="5" max="5"/>
    <col width="14" customWidth="1" style="63" min="6" max="6"/>
    <col width="39.33203125" bestFit="1" customWidth="1" style="63" min="7" max="7"/>
    <col width="2.1640625" customWidth="1" style="63" min="8" max="8"/>
    <col hidden="1" width="6" customWidth="1" style="63" min="9" max="9"/>
    <col hidden="1" width="14" customWidth="1" style="63" min="10" max="10"/>
  </cols>
  <sheetData>
    <row r="1" ht="7.5" customHeight="1" s="63">
      <c r="B1" s="66" t="n"/>
    </row>
    <row r="2" ht="6" customHeight="1" s="63"/>
    <row r="3" ht="39.75" customHeight="1" s="63">
      <c r="E3" s="67" t="inlineStr">
        <is>
          <t>QUOTATION</t>
        </is>
      </c>
    </row>
    <row r="4" ht="16.5" customHeight="1" s="63">
      <c r="E4" s="68" t="inlineStr">
        <is>
          <t>Quotation No #</t>
        </is>
      </c>
      <c r="G4" s="23">
        <f>Setup!C27</f>
        <v/>
      </c>
    </row>
    <row r="5" ht="16.5" customHeight="1" s="63">
      <c r="E5" s="69" t="inlineStr">
        <is>
          <t>Quotation Date</t>
        </is>
      </c>
      <c r="G5" s="24">
        <f>Setup!C28</f>
        <v/>
      </c>
    </row>
    <row r="6" ht="16.5" customHeight="1" s="63">
      <c r="E6" s="69" t="inlineStr">
        <is>
          <t>Valid Until</t>
        </is>
      </c>
      <c r="G6" s="24">
        <f>Setup!C29</f>
        <v/>
      </c>
    </row>
    <row r="7" ht="16.5" customHeight="1" s="63">
      <c r="E7" s="69" t="inlineStr">
        <is>
          <t>Reference</t>
        </is>
      </c>
      <c r="G7" s="25">
        <f>Setup!C30</f>
        <v/>
      </c>
    </row>
    <row r="8" ht="6" customHeight="1" s="63"/>
    <row r="9" ht="3.75" customHeight="1" s="63">
      <c r="B9" s="64" t="n"/>
      <c r="C9" s="64" t="n"/>
      <c r="D9" s="64" t="n"/>
      <c r="E9" s="64" t="n"/>
      <c r="F9" s="64" t="n"/>
      <c r="G9" s="64" t="n"/>
    </row>
    <row r="11" ht="18.75" customHeight="1" s="63">
      <c r="B11" s="65" t="inlineStr">
        <is>
          <t>QUOTATION FROM</t>
        </is>
      </c>
      <c r="D11" s="65" t="inlineStr">
        <is>
          <t>QUOTATION FOR</t>
        </is>
      </c>
    </row>
    <row r="12" ht="15.75" customHeight="1" s="63">
      <c r="B12" s="54">
        <f>Setup!C4</f>
        <v/>
      </c>
      <c r="D12" s="54">
        <f>Setup!C19</f>
        <v/>
      </c>
    </row>
    <row r="13" ht="15.75" customHeight="1" s="63">
      <c r="B13" s="62">
        <f>Setup!C8</f>
        <v/>
      </c>
      <c r="D13" s="62">
        <f>"Contact: "&amp;Setup!C20</f>
        <v/>
      </c>
    </row>
    <row r="14" ht="15.75" customHeight="1" s="63">
      <c r="B14" s="62">
        <f>Setup!C9</f>
        <v/>
      </c>
      <c r="D14" s="62">
        <f>"Email: "&amp;Setup!C21</f>
        <v/>
      </c>
    </row>
    <row r="15" ht="15.75" customHeight="1" s="63">
      <c r="B15" s="62">
        <f>"Reg No: "&amp;Setup!C6</f>
        <v/>
      </c>
      <c r="D15" s="62">
        <f>"Phone: "&amp;Setup!C22</f>
        <v/>
      </c>
    </row>
    <row r="16" ht="15.75" customHeight="1" s="63">
      <c r="B16" s="62">
        <f>"VAT No: "&amp;Setup!C7</f>
        <v/>
      </c>
    </row>
    <row r="17" ht="15.75" customHeight="1" s="63">
      <c r="B17" s="62">
        <f>"Email: "&amp;Setup!C12</f>
        <v/>
      </c>
    </row>
    <row r="18" ht="15.75" customHeight="1" s="63">
      <c r="B18" s="62">
        <f>"Phone: "&amp;Setup!C10</f>
        <v/>
      </c>
    </row>
    <row r="20" ht="18" customHeight="1" s="63">
      <c r="B20" s="59" t="inlineStr">
        <is>
          <t>Sales Person</t>
        </is>
      </c>
      <c r="C20" s="89" t="n"/>
      <c r="D20" s="59" t="inlineStr">
        <is>
          <t>Venue</t>
        </is>
      </c>
      <c r="E20" s="59" t="inlineStr">
        <is>
          <t>Event Date</t>
        </is>
      </c>
      <c r="F20" s="59" t="inlineStr">
        <is>
          <t>PO Number</t>
        </is>
      </c>
      <c r="G20" s="59" t="inlineStr">
        <is>
          <t>Timing</t>
        </is>
      </c>
    </row>
    <row r="21" ht="30" customHeight="1" s="63">
      <c r="B21" s="60">
        <f>Setup!C32</f>
        <v/>
      </c>
      <c r="C21" s="89" t="n"/>
      <c r="D21" s="60">
        <f>Setup!C36</f>
        <v/>
      </c>
      <c r="E21" s="60">
        <f>Setup!C37</f>
        <v/>
      </c>
      <c r="F21" s="60">
        <f>Setup!C38</f>
        <v/>
      </c>
      <c r="G21" s="60">
        <f>Setup!C39</f>
        <v/>
      </c>
    </row>
    <row r="23" ht="18.75" customHeight="1" s="63">
      <c r="B23" s="46" t="inlineStr">
        <is>
          <t>QTY</t>
        </is>
      </c>
      <c r="C23" s="46" t="inlineStr">
        <is>
          <t>DESCRIPTION</t>
        </is>
      </c>
      <c r="D23" s="46" t="inlineStr">
        <is>
          <t>NOTES</t>
        </is>
      </c>
      <c r="E23" s="46" t="inlineStr">
        <is>
          <t>UNIT PRICE</t>
        </is>
      </c>
      <c r="F23" s="46" t="inlineStr">
        <is>
          <t>SHIFTS</t>
        </is>
      </c>
      <c r="G23" s="46" t="inlineStr">
        <is>
          <t>AMOUNT</t>
        </is>
      </c>
    </row>
    <row r="24" ht="27.75" customHeight="1" s="63">
      <c r="B24" s="47">
        <f>IF(J24="LINE ITEM",IFERROR(INDEX(Builder[Qty],I24),""),"")</f>
        <v/>
      </c>
      <c r="C24" s="48">
        <f>IF(J24="SECTION HEADER",INDEX(Builder[Section Text (auto)],I24),IF(J24="LINE ITEM","x "&amp;T(INDEX(Builder[Final Description (auto)],I24)),""))</f>
        <v/>
      </c>
      <c r="D24" s="49">
        <f>IF(J24="LINE ITEM",IF(T(INDEX(Builder[Officer Type],I24))&lt;&gt;"","",T(INDEX(Builder[Notes / Posting Location],I24))),"")</f>
        <v/>
      </c>
      <c r="E24" s="50">
        <f>IF(J24="LINE ITEM",IFERROR(INDEX(Builder[Final Unit Price (auto)],I24),""),"")</f>
        <v/>
      </c>
      <c r="F24" s="47">
        <f>IF(J24="LINE ITEM",IFERROR(INDEX(Builder[Shifts / Units],I24),""),"")</f>
        <v/>
      </c>
      <c r="G24" s="50">
        <f>IF(J24="LINE ITEM",IFERROR(INDEX(Builder[Amount (auto)],I24),""),"")</f>
        <v/>
      </c>
      <c r="I24">
        <f>ROW()-23</f>
        <v/>
      </c>
      <c r="J24">
        <f>INDEX(Builder[Row Type],I24)</f>
        <v/>
      </c>
    </row>
    <row r="25" ht="27.75" customHeight="1" s="63">
      <c r="B25" s="47">
        <f>IF(J25="LINE ITEM",IFERROR(INDEX(Builder[Qty],I25),""),"")</f>
        <v/>
      </c>
      <c r="C25" s="48">
        <f>IF(J25="SECTION HEADER",INDEX(Builder[Section Text (auto)],I25),IF(J25="LINE ITEM","x "&amp;T(INDEX(Builder[Final Description (auto)],I25)),""))</f>
        <v/>
      </c>
      <c r="D25" s="49">
        <f>IF(J25="LINE ITEM",IF(T(INDEX(Builder[Officer Type],I25))&lt;&gt;"","",T(INDEX(Builder[Notes / Posting Location],I25))),"")</f>
        <v/>
      </c>
      <c r="E25" s="50">
        <f>IF(J25="LINE ITEM",IFERROR(INDEX(Builder[Final Unit Price (auto)],I25),""),"")</f>
        <v/>
      </c>
      <c r="F25" s="47">
        <f>IF(J25="LINE ITEM",IFERROR(INDEX(Builder[Shifts / Units],I25),""),"")</f>
        <v/>
      </c>
      <c r="G25" s="50">
        <f>IF(J25="LINE ITEM",IFERROR(INDEX(Builder[Amount (auto)],I25),""),"")</f>
        <v/>
      </c>
      <c r="I25">
        <f>ROW()-23</f>
        <v/>
      </c>
      <c r="J25">
        <f>INDEX(Builder[Row Type],I25)</f>
        <v/>
      </c>
    </row>
    <row r="26" ht="27.75" customHeight="1" s="63">
      <c r="B26" s="47">
        <f>IF(J26="LINE ITEM",IFERROR(INDEX(Builder[Qty],I26),""),"")</f>
        <v/>
      </c>
      <c r="C26" s="48">
        <f>IF(J26="SECTION HEADER",INDEX(Builder[Section Text (auto)],I26),IF(J26="LINE ITEM","x "&amp;T(INDEX(Builder[Final Description (auto)],I26)),""))</f>
        <v/>
      </c>
      <c r="D26" s="49">
        <f>IF(J26="LINE ITEM",IF(T(INDEX(Builder[Officer Type],I26))&lt;&gt;"","",T(INDEX(Builder[Notes / Posting Location],I26))),"")</f>
        <v/>
      </c>
      <c r="E26" s="50">
        <f>IF(J26="LINE ITEM",IFERROR(INDEX(Builder[Final Unit Price (auto)],I26),""),"")</f>
        <v/>
      </c>
      <c r="F26" s="47">
        <f>IF(J26="LINE ITEM",IFERROR(INDEX(Builder[Shifts / Units],I26),""),"")</f>
        <v/>
      </c>
      <c r="G26" s="50">
        <f>IF(J26="LINE ITEM",IFERROR(INDEX(Builder[Amount (auto)],I26),""),"")</f>
        <v/>
      </c>
      <c r="I26">
        <f>ROW()-23</f>
        <v/>
      </c>
      <c r="J26">
        <f>INDEX(Builder[Row Type],I26)</f>
        <v/>
      </c>
    </row>
    <row r="27" ht="27.75" customHeight="1" s="63">
      <c r="B27" s="47">
        <f>IF(J27="LINE ITEM",IFERROR(INDEX(Builder[Qty],I27),""),"")</f>
        <v/>
      </c>
      <c r="C27" s="48">
        <f>IF(J27="SECTION HEADER",INDEX(Builder[Section Text (auto)],I27),IF(J27="LINE ITEM","x "&amp;T(INDEX(Builder[Final Description (auto)],I27)),""))</f>
        <v/>
      </c>
      <c r="D27" s="49">
        <f>IF(J27="LINE ITEM",IF(T(INDEX(Builder[Officer Type],I27))&lt;&gt;"","",T(INDEX(Builder[Notes / Posting Location],I27))),"")</f>
        <v/>
      </c>
      <c r="E27" s="50">
        <f>IF(J27="LINE ITEM",IFERROR(INDEX(Builder[Final Unit Price (auto)],I27),""),"")</f>
        <v/>
      </c>
      <c r="F27" s="47">
        <f>IF(J27="LINE ITEM",IFERROR(INDEX(Builder[Shifts / Units],I27),""),"")</f>
        <v/>
      </c>
      <c r="G27" s="50">
        <f>IF(J27="LINE ITEM",IFERROR(INDEX(Builder[Amount (auto)],I27),""),"")</f>
        <v/>
      </c>
      <c r="I27">
        <f>ROW()-23</f>
        <v/>
      </c>
      <c r="J27">
        <f>INDEX(Builder[Row Type],I27)</f>
        <v/>
      </c>
    </row>
    <row r="28" ht="27.75" customHeight="1" s="63">
      <c r="B28" s="47">
        <f>IF(J28="LINE ITEM",IFERROR(INDEX(Builder[Qty],I28),""),"")</f>
        <v/>
      </c>
      <c r="C28" s="48">
        <f>IF(J28="SECTION HEADER",INDEX(Builder[Section Text (auto)],I28),IF(J28="LINE ITEM","x "&amp;T(INDEX(Builder[Final Description (auto)],I28)),""))</f>
        <v/>
      </c>
      <c r="D28" s="49">
        <f>IF(J28="LINE ITEM",IF(T(INDEX(Builder[Officer Type],I28))&lt;&gt;"","",T(INDEX(Builder[Notes / Posting Location],I28))),"")</f>
        <v/>
      </c>
      <c r="E28" s="50">
        <f>IF(J28="LINE ITEM",IFERROR(INDEX(Builder[Final Unit Price (auto)],I28),""),"")</f>
        <v/>
      </c>
      <c r="F28" s="47">
        <f>IF(J28="LINE ITEM",IFERROR(INDEX(Builder[Shifts / Units],I28),""),"")</f>
        <v/>
      </c>
      <c r="G28" s="50">
        <f>IF(J28="LINE ITEM",IFERROR(INDEX(Builder[Amount (auto)],I28),""),"")</f>
        <v/>
      </c>
      <c r="I28">
        <f>ROW()-23</f>
        <v/>
      </c>
      <c r="J28">
        <f>INDEX(Builder[Row Type],I28)</f>
        <v/>
      </c>
    </row>
    <row r="29" ht="27.75" customHeight="1" s="63">
      <c r="B29" s="47">
        <f>IF(J29="LINE ITEM",IFERROR(INDEX(Builder[Qty],I29),""),"")</f>
        <v/>
      </c>
      <c r="C29" s="48">
        <f>IF(J29="SECTION HEADER",INDEX(Builder[Section Text (auto)],I29),IF(J29="LINE ITEM","x "&amp;T(INDEX(Builder[Final Description (auto)],I29)),""))</f>
        <v/>
      </c>
      <c r="D29" s="49">
        <f>IF(J29="LINE ITEM",IF(T(INDEX(Builder[Officer Type],I29))&lt;&gt;"","",T(INDEX(Builder[Notes / Posting Location],I29))),"")</f>
        <v/>
      </c>
      <c r="E29" s="50">
        <f>IF(J29="LINE ITEM",IFERROR(INDEX(Builder[Final Unit Price (auto)],I29),""),"")</f>
        <v/>
      </c>
      <c r="F29" s="47">
        <f>IF(J29="LINE ITEM",IFERROR(INDEX(Builder[Shifts / Units],I29),""),"")</f>
        <v/>
      </c>
      <c r="G29" s="50">
        <f>IF(J29="LINE ITEM",IFERROR(INDEX(Builder[Amount (auto)],I29),""),"")</f>
        <v/>
      </c>
      <c r="I29">
        <f>ROW()-23</f>
        <v/>
      </c>
      <c r="J29">
        <f>INDEX(Builder[Row Type],I29)</f>
        <v/>
      </c>
    </row>
    <row r="30" ht="27.75" customHeight="1" s="63">
      <c r="B30" s="47" t="n"/>
      <c r="C30" s="48">
        <f>IF(J30="SECTION HEADER",INDEX(Builder[Section Text (auto)],I30),IF(J30="LINE ITEM","x "&amp;T(INDEX(Builder[Final Description (auto)],I30)),""))</f>
        <v/>
      </c>
      <c r="D30" s="49">
        <f>IF(J30="LINE ITEM",IF(T(INDEX(Builder[Officer Type],I30))&lt;&gt;"","",T(INDEX(Builder[Notes / Posting Location],I30))),"")</f>
        <v/>
      </c>
      <c r="E30" s="50">
        <f>IF(J30="LINE ITEM",IFERROR(INDEX(Builder[Final Unit Price (auto)],I30),""),"")</f>
        <v/>
      </c>
      <c r="F30" s="47">
        <f>IF(J30="LINE ITEM",IFERROR(INDEX(Builder[Shifts / Units],I30),""),"")</f>
        <v/>
      </c>
      <c r="G30" s="50">
        <f>IF(J30="LINE ITEM",IFERROR(INDEX(Builder[Amount (auto)],I30),""),"")</f>
        <v/>
      </c>
      <c r="I30">
        <f>ROW()-23</f>
        <v/>
      </c>
      <c r="J30">
        <f>INDEX(Builder[Row Type],I30)</f>
        <v/>
      </c>
    </row>
    <row r="31" ht="27.75" customHeight="1" s="63">
      <c r="B31" s="47">
        <f>IF(J31="LINE ITEM",IFERROR(INDEX(Builder[Qty],I31),""),"")</f>
        <v/>
      </c>
      <c r="C31" s="48">
        <f>IF(J31="SECTION HEADER",INDEX(Builder[Section Text (auto)],I31),IF(J31="LINE ITEM","x "&amp;T(INDEX(Builder[Final Description (auto)],I31)),""))</f>
        <v/>
      </c>
      <c r="D31" s="49">
        <f>IF(J31="LINE ITEM",IF(T(INDEX(Builder[Officer Type],I31))&lt;&gt;"","",T(INDEX(Builder[Notes / Posting Location],I31))),"")</f>
        <v/>
      </c>
      <c r="E31" s="50">
        <f>IF(J31="LINE ITEM",IFERROR(INDEX(Builder[Final Unit Price (auto)],I31),""),"")</f>
        <v/>
      </c>
      <c r="F31" s="47">
        <f>IF(J31="LINE ITEM",IFERROR(INDEX(Builder[Shifts / Units],I31),""),"")</f>
        <v/>
      </c>
      <c r="G31" s="50">
        <f>IF(J31="LINE ITEM",IFERROR(INDEX(Builder[Amount (auto)],I31),""),"")</f>
        <v/>
      </c>
      <c r="I31">
        <f>ROW()-23</f>
        <v/>
      </c>
      <c r="J31">
        <f>INDEX(Builder[Row Type],I31)</f>
        <v/>
      </c>
    </row>
    <row r="32" ht="27.75" customHeight="1" s="63">
      <c r="B32" s="47">
        <f>IF(J32="LINE ITEM",IFERROR(INDEX(Builder[Qty],I32),""),"")</f>
        <v/>
      </c>
      <c r="C32" s="48">
        <f>IF(J32="SECTION HEADER",INDEX(Builder[Section Text (auto)],I32),IF(J32="LINE ITEM","x "&amp;T(INDEX(Builder[Final Description (auto)],I32)),""))</f>
        <v/>
      </c>
      <c r="D32" s="49">
        <f>IF(J32="LINE ITEM",IF(T(INDEX(Builder[Officer Type],I32))&lt;&gt;"","",T(INDEX(Builder[Notes / Posting Location],I32))),"")</f>
        <v/>
      </c>
      <c r="E32" s="50">
        <f>IF(J32="LINE ITEM",IFERROR(INDEX(Builder[Final Unit Price (auto)],I32),""),"")</f>
        <v/>
      </c>
      <c r="F32" s="47">
        <f>IF(J32="LINE ITEM",IFERROR(INDEX(Builder[Shifts / Units],I32),""),"")</f>
        <v/>
      </c>
      <c r="G32" s="50">
        <f>IF(J32="LINE ITEM",IFERROR(INDEX(Builder[Amount (auto)],I32),""),"")</f>
        <v/>
      </c>
      <c r="I32">
        <f>ROW()-23</f>
        <v/>
      </c>
      <c r="J32">
        <f>INDEX(Builder[Row Type],I32)</f>
        <v/>
      </c>
    </row>
    <row r="33" ht="27.75" customHeight="1" s="63">
      <c r="B33" s="47">
        <f>IF(J33="LINE ITEM",IFERROR(INDEX(Builder[Qty],I33),""),"")</f>
        <v/>
      </c>
      <c r="C33" s="48">
        <f>IF(J33="SECTION HEADER",INDEX(Builder[Section Text (auto)],I33),IF(J33="LINE ITEM","x "&amp;T(INDEX(Builder[Final Description (auto)],I33)),""))</f>
        <v/>
      </c>
      <c r="D33" s="49">
        <f>IF(J33="LINE ITEM",IF(T(INDEX(Builder[Officer Type],I33))&lt;&gt;"","",T(INDEX(Builder[Notes / Posting Location],I33))),"")</f>
        <v/>
      </c>
      <c r="E33" s="50">
        <f>IF(J33="LINE ITEM",IFERROR(INDEX(Builder[Final Unit Price (auto)],I33),""),"")</f>
        <v/>
      </c>
      <c r="F33" s="47">
        <f>IF(J33="LINE ITEM",IFERROR(INDEX(Builder[Shifts / Units],I33),""),"")</f>
        <v/>
      </c>
      <c r="G33" s="50">
        <f>IF(J33="LINE ITEM",IFERROR(INDEX(Builder[Amount (auto)],I33),""),"")</f>
        <v/>
      </c>
      <c r="I33">
        <f>ROW()-23</f>
        <v/>
      </c>
      <c r="J33">
        <f>INDEX(Builder[Row Type],I33)</f>
        <v/>
      </c>
    </row>
    <row r="34" ht="27.75" customHeight="1" s="63">
      <c r="B34" s="47">
        <f>IF(J34="LINE ITEM",IFERROR(INDEX(Builder[Qty],I34),""),"")</f>
        <v/>
      </c>
      <c r="C34" s="48">
        <f>IF(J34="SECTION HEADER",INDEX(Builder[Section Text (auto)],I34),IF(J34="LINE ITEM","x "&amp;T(INDEX(Builder[Final Description (auto)],I34)),""))</f>
        <v/>
      </c>
      <c r="D34" s="49">
        <f>IF(J34="LINE ITEM",IF(T(INDEX(Builder[Officer Type],I34))&lt;&gt;"","",T(INDEX(Builder[Notes / Posting Location],I34))),"")</f>
        <v/>
      </c>
      <c r="E34" s="50">
        <f>IF(J34="LINE ITEM",IFERROR(INDEX(Builder[Final Unit Price (auto)],I34),""),"")</f>
        <v/>
      </c>
      <c r="F34" s="47">
        <f>IF(J34="LINE ITEM",IFERROR(INDEX(Builder[Shifts / Units],I34),""),"")</f>
        <v/>
      </c>
      <c r="G34" s="50">
        <f>IF(J34="LINE ITEM",IFERROR(INDEX(Builder[Amount (auto)],I34),""),"")</f>
        <v/>
      </c>
      <c r="I34">
        <f>ROW()-23</f>
        <v/>
      </c>
      <c r="J34">
        <f>INDEX(Builder[Row Type],I34)</f>
        <v/>
      </c>
    </row>
    <row r="35" ht="27.75" customHeight="1" s="63">
      <c r="B35" s="47">
        <f>IF(J35="LINE ITEM",IFERROR(INDEX(Builder[Qty],I35),""),"")</f>
        <v/>
      </c>
      <c r="C35" s="48">
        <f>IF(J35="SECTION HEADER",INDEX(Builder[Section Text (auto)],I35),IF(J35="LINE ITEM","x "&amp;T(INDEX(Builder[Final Description (auto)],I35)),""))</f>
        <v/>
      </c>
      <c r="D35" s="49">
        <f>IF(J35="LINE ITEM",IF(T(INDEX(Builder[Officer Type],I35))&lt;&gt;"","",T(INDEX(Builder[Notes / Posting Location],I35))),"")</f>
        <v/>
      </c>
      <c r="E35" s="50">
        <f>IF(J35="LINE ITEM",IFERROR(INDEX(Builder[Final Unit Price (auto)],I35),""),"")</f>
        <v/>
      </c>
      <c r="F35" s="47">
        <f>IF(J35="LINE ITEM",IFERROR(INDEX(Builder[Shifts / Units],I35),""),"")</f>
        <v/>
      </c>
      <c r="G35" s="50">
        <f>IF(J35="LINE ITEM",IFERROR(INDEX(Builder[Amount (auto)],I35),""),"")</f>
        <v/>
      </c>
      <c r="I35">
        <f>ROW()-23</f>
        <v/>
      </c>
      <c r="J35">
        <f>INDEX(Builder[Row Type],I35)</f>
        <v/>
      </c>
    </row>
    <row r="36" ht="27.75" customHeight="1" s="63">
      <c r="B36" s="47">
        <f>IF(J36="LINE ITEM",IFERROR(INDEX(Builder[Qty],I36),""),"")</f>
        <v/>
      </c>
      <c r="C36" s="48">
        <f>IF(J36="SECTION HEADER",INDEX(Builder[Section Text (auto)],I36),IF(J36="LINE ITEM","x "&amp;T(INDEX(Builder[Final Description (auto)],I36)),""))</f>
        <v/>
      </c>
      <c r="D36" s="49">
        <f>IF(J36="LINE ITEM",IF(T(INDEX(Builder[Officer Type],I36))&lt;&gt;"","",T(INDEX(Builder[Notes / Posting Location],I36))),"")</f>
        <v/>
      </c>
      <c r="E36" s="50">
        <f>IF(J36="LINE ITEM",IFERROR(INDEX(Builder[Final Unit Price (auto)],I36),""),"")</f>
        <v/>
      </c>
      <c r="F36" s="47">
        <f>IF(J36="LINE ITEM",IFERROR(INDEX(Builder[Shifts / Units],I36),""),"")</f>
        <v/>
      </c>
      <c r="G36" s="50">
        <f>IF(J36="LINE ITEM",IFERROR(INDEX(Builder[Amount (auto)],I36),""),"")</f>
        <v/>
      </c>
      <c r="I36">
        <f>ROW()-23</f>
        <v/>
      </c>
      <c r="J36">
        <f>INDEX(Builder[Row Type],I36)</f>
        <v/>
      </c>
    </row>
    <row r="37" ht="27.75" customHeight="1" s="63">
      <c r="B37" s="47">
        <f>IF(J37="LINE ITEM",IFERROR(INDEX(Builder[Qty],I37),""),"")</f>
        <v/>
      </c>
      <c r="C37" s="48">
        <f>IF(J37="SECTION HEADER",INDEX(Builder[Section Text (auto)],I37),IF(J37="LINE ITEM","x "&amp;T(INDEX(Builder[Final Description (auto)],I37)),""))</f>
        <v/>
      </c>
      <c r="D37" s="49">
        <f>IF(J37="LINE ITEM",IF(T(INDEX(Builder[Officer Type],I37))&lt;&gt;"","",T(INDEX(Builder[Notes / Posting Location],I37))),"")</f>
        <v/>
      </c>
      <c r="E37" s="50">
        <f>IF(J37="LINE ITEM",IFERROR(INDEX(Builder[Final Unit Price (auto)],I37),""),"")</f>
        <v/>
      </c>
      <c r="F37" s="47">
        <f>IF(J37="LINE ITEM",IFERROR(INDEX(Builder[Shifts / Units],I37),""),"")</f>
        <v/>
      </c>
      <c r="G37" s="50">
        <f>IF(J37="LINE ITEM",IFERROR(INDEX(Builder[Amount (auto)],I37),""),"")</f>
        <v/>
      </c>
      <c r="I37">
        <f>ROW()-23</f>
        <v/>
      </c>
      <c r="J37">
        <f>INDEX(Builder[Row Type],I37)</f>
        <v/>
      </c>
    </row>
    <row r="38" ht="27.75" customHeight="1" s="63">
      <c r="B38" s="47">
        <f>IF(J38="LINE ITEM",IFERROR(INDEX(Builder[Qty],I38),""),"")</f>
        <v/>
      </c>
      <c r="C38" s="48">
        <f>IF(J38="SECTION HEADER",INDEX(Builder[Section Text (auto)],I38),IF(J38="LINE ITEM","x "&amp;T(INDEX(Builder[Final Description (auto)],I38)),""))</f>
        <v/>
      </c>
      <c r="D38" s="49">
        <f>IF(J38="LINE ITEM",IF(T(INDEX(Builder[Officer Type],I38))&lt;&gt;"","",T(INDEX(Builder[Notes / Posting Location],I38))),"")</f>
        <v/>
      </c>
      <c r="E38" s="50">
        <f>IF(J38="LINE ITEM",IFERROR(INDEX(Builder[Final Unit Price (auto)],I38),""),"")</f>
        <v/>
      </c>
      <c r="F38" s="47">
        <f>IF(J38="LINE ITEM",IFERROR(INDEX(Builder[Shifts / Units],I38),""),"")</f>
        <v/>
      </c>
      <c r="G38" s="50">
        <f>IF(J38="LINE ITEM",IFERROR(INDEX(Builder[Amount (auto)],I38),""),"")</f>
        <v/>
      </c>
      <c r="I38">
        <f>ROW()-23</f>
        <v/>
      </c>
      <c r="J38">
        <f>INDEX(Builder[Row Type],I38)</f>
        <v/>
      </c>
    </row>
    <row r="39" ht="27.75" customHeight="1" s="63">
      <c r="B39" s="47">
        <f>IF(J39="LINE ITEM",IFERROR(INDEX(Builder[Qty],I39),""),"")</f>
        <v/>
      </c>
      <c r="C39" s="48">
        <f>IF(J39="SECTION HEADER",INDEX(Builder[Section Text (auto)],I39),IF(J39="LINE ITEM","x "&amp;T(INDEX(Builder[Final Description (auto)],I39)),""))</f>
        <v/>
      </c>
      <c r="D39" s="49">
        <f>IF(J39="LINE ITEM",IF(T(INDEX(Builder[Officer Type],I39))&lt;&gt;"","",T(INDEX(Builder[Notes / Posting Location],I39))),"")</f>
        <v/>
      </c>
      <c r="E39" s="50">
        <f>IF(J39="LINE ITEM",IFERROR(INDEX(Builder[Final Unit Price (auto)],I39),""),"")</f>
        <v/>
      </c>
      <c r="F39" s="47">
        <f>IF(J39="LINE ITEM",IFERROR(INDEX(Builder[Shifts / Units],I39),""),"")</f>
        <v/>
      </c>
      <c r="G39" s="50">
        <f>IF(J39="LINE ITEM",IFERROR(INDEX(Builder[Amount (auto)],I39),""),"")</f>
        <v/>
      </c>
      <c r="I39">
        <f>ROW()-23</f>
        <v/>
      </c>
      <c r="J39">
        <f>INDEX(Builder[Row Type],I39)</f>
        <v/>
      </c>
    </row>
    <row r="40" ht="27.75" customHeight="1" s="63">
      <c r="B40" s="47">
        <f>IF(J40="LINE ITEM",IFERROR(INDEX(Builder[Qty],I40),""),"")</f>
        <v/>
      </c>
      <c r="C40" s="48">
        <f>IF(J40="SECTION HEADER",INDEX(Builder[Section Text (auto)],I40),IF(J40="LINE ITEM","x "&amp;T(INDEX(Builder[Final Description (auto)],I40)),""))</f>
        <v/>
      </c>
      <c r="D40" s="49">
        <f>IF(J40="LINE ITEM",IF(T(INDEX(Builder[Officer Type],I40))&lt;&gt;"","",T(INDEX(Builder[Notes / Posting Location],I40))),"")</f>
        <v/>
      </c>
      <c r="E40" s="50">
        <f>IF(J40="LINE ITEM",IFERROR(INDEX(Builder[Final Unit Price (auto)],I40),""),"")</f>
        <v/>
      </c>
      <c r="F40" s="47">
        <f>IF(J40="LINE ITEM",IFERROR(INDEX(Builder[Shifts / Units],I40),""),"")</f>
        <v/>
      </c>
      <c r="G40" s="50">
        <f>IF(J40="LINE ITEM",IFERROR(INDEX(Builder[Amount (auto)],I40),""),"")</f>
        <v/>
      </c>
      <c r="I40">
        <f>ROW()-23</f>
        <v/>
      </c>
      <c r="J40">
        <f>INDEX(Builder[Row Type],I40)</f>
        <v/>
      </c>
    </row>
    <row r="41" ht="27.75" customHeight="1" s="63">
      <c r="B41" s="47">
        <f>IF(J41="LINE ITEM",IFERROR(INDEX(Builder[Qty],I41),""),"")</f>
        <v/>
      </c>
      <c r="C41" s="48">
        <f>IF(J41="SECTION HEADER",INDEX(Builder[Section Text (auto)],I41),IF(J41="LINE ITEM","x "&amp;T(INDEX(Builder[Final Description (auto)],I41)),""))</f>
        <v/>
      </c>
      <c r="D41" s="49">
        <f>IF(J41="LINE ITEM",IF(T(INDEX(Builder[Officer Type],I41))&lt;&gt;"","",T(INDEX(Builder[Notes / Posting Location],I41))),"")</f>
        <v/>
      </c>
      <c r="E41" s="50">
        <f>IF(J41="LINE ITEM",IFERROR(INDEX(Builder[Final Unit Price (auto)],I41),""),"")</f>
        <v/>
      </c>
      <c r="F41" s="47">
        <f>IF(J41="LINE ITEM",IFERROR(INDEX(Builder[Shifts / Units],I41),""),"")</f>
        <v/>
      </c>
      <c r="G41" s="50">
        <f>IF(J41="LINE ITEM",IFERROR(INDEX(Builder[Amount (auto)],I41),""),"")</f>
        <v/>
      </c>
      <c r="I41">
        <f>ROW()-23</f>
        <v/>
      </c>
      <c r="J41">
        <f>INDEX(Builder[Row Type],I41)</f>
        <v/>
      </c>
    </row>
    <row r="42" ht="27.75" customHeight="1" s="63">
      <c r="B42" s="47">
        <f>IF(J42="LINE ITEM",IFERROR(INDEX(Builder[Qty],I42),""),"")</f>
        <v/>
      </c>
      <c r="C42" s="48">
        <f>IF(J42="SECTION HEADER",INDEX(Builder[Section Text (auto)],I42),IF(J42="LINE ITEM","x "&amp;T(INDEX(Builder[Final Description (auto)],I42)),""))</f>
        <v/>
      </c>
      <c r="D42" s="49">
        <f>IF(J42="LINE ITEM",IF(T(INDEX(Builder[Officer Type],I42))&lt;&gt;"","",T(INDEX(Builder[Notes / Posting Location],I42))),"")</f>
        <v/>
      </c>
      <c r="E42" s="50">
        <f>IF(J42="LINE ITEM",IFERROR(INDEX(Builder[Final Unit Price (auto)],I42),""),"")</f>
        <v/>
      </c>
      <c r="F42" s="47">
        <f>IF(J42="LINE ITEM",IFERROR(INDEX(Builder[Shifts / Units],I42),""),"")</f>
        <v/>
      </c>
      <c r="G42" s="50">
        <f>IF(J42="LINE ITEM",IFERROR(INDEX(Builder[Amount (auto)],I42),""),"")</f>
        <v/>
      </c>
      <c r="I42">
        <f>ROW()-23</f>
        <v/>
      </c>
      <c r="J42">
        <f>INDEX(Builder[Row Type],I42)</f>
        <v/>
      </c>
    </row>
    <row r="43" ht="27.75" customHeight="1" s="63">
      <c r="B43" s="47">
        <f>IF(J43="LINE ITEM",IFERROR(INDEX(Builder[Qty],I43),""),"")</f>
        <v/>
      </c>
      <c r="C43" s="48">
        <f>IF(J43="SECTION HEADER",INDEX(Builder[Section Text (auto)],I43),IF(J43="LINE ITEM","x "&amp;T(INDEX(Builder[Final Description (auto)],I43)),""))</f>
        <v/>
      </c>
      <c r="D43" s="49">
        <f>IF(J43="LINE ITEM",IF(T(INDEX(Builder[Officer Type],I43))&lt;&gt;"","",T(INDEX(Builder[Notes / Posting Location],I43))),"")</f>
        <v/>
      </c>
      <c r="E43" s="50">
        <f>IF(J43="LINE ITEM",IFERROR(INDEX(Builder[Final Unit Price (auto)],I43),""),"")</f>
        <v/>
      </c>
      <c r="F43" s="47">
        <f>IF(J43="LINE ITEM",IFERROR(INDEX(Builder[Shifts / Units],I43),""),"")</f>
        <v/>
      </c>
      <c r="G43" s="50">
        <f>IF(J43="LINE ITEM",IFERROR(INDEX(Builder[Amount (auto)],I43),""),"")</f>
        <v/>
      </c>
      <c r="I43">
        <f>ROW()-23</f>
        <v/>
      </c>
      <c r="J43">
        <f>INDEX(Builder[Row Type],I43)</f>
        <v/>
      </c>
    </row>
    <row r="44" ht="27.75" customHeight="1" s="63">
      <c r="B44" s="47">
        <f>IF(J44="LINE ITEM",IFERROR(INDEX(Builder[Qty],I44),""),"")</f>
        <v/>
      </c>
      <c r="C44" s="48">
        <f>IF(J44="SECTION HEADER",INDEX(Builder[Section Text (auto)],I44),IF(J44="LINE ITEM","x "&amp;T(INDEX(Builder[Final Description (auto)],I44)),""))</f>
        <v/>
      </c>
      <c r="D44" s="49">
        <f>IF(J44="LINE ITEM",IF(T(INDEX(Builder[Officer Type],I44))&lt;&gt;"","",T(INDEX(Builder[Notes / Posting Location],I44))),"")</f>
        <v/>
      </c>
      <c r="E44" s="50">
        <f>IF(J44="LINE ITEM",IFERROR(INDEX(Builder[Final Unit Price (auto)],I44),""),"")</f>
        <v/>
      </c>
      <c r="F44" s="47">
        <f>IF(J44="LINE ITEM",IFERROR(INDEX(Builder[Shifts / Units],I44),""),"")</f>
        <v/>
      </c>
      <c r="G44" s="50">
        <f>IF(J44="LINE ITEM",IFERROR(INDEX(Builder[Amount (auto)],I44),""),"")</f>
        <v/>
      </c>
      <c r="I44">
        <f>ROW()-23</f>
        <v/>
      </c>
      <c r="J44">
        <f>INDEX(Builder[Row Type],I44)</f>
        <v/>
      </c>
    </row>
    <row r="45" ht="27.75" customHeight="1" s="63">
      <c r="B45" s="47">
        <f>IF(J45="LINE ITEM",IFERROR(INDEX(Builder[Qty],I45),""),"")</f>
        <v/>
      </c>
      <c r="C45" s="48">
        <f>IF(J45="SECTION HEADER",INDEX(Builder[Section Text (auto)],I45),IF(J45="LINE ITEM","x "&amp;T(INDEX(Builder[Final Description (auto)],I45)),""))</f>
        <v/>
      </c>
      <c r="D45" s="49">
        <f>IF(J45="LINE ITEM",IF(T(INDEX(Builder[Officer Type],I45))&lt;&gt;"","",T(INDEX(Builder[Notes / Posting Location],I45))),"")</f>
        <v/>
      </c>
      <c r="E45" s="50">
        <f>IF(J45="LINE ITEM",IFERROR(INDEX(Builder[Final Unit Price (auto)],I45),""),"")</f>
        <v/>
      </c>
      <c r="F45" s="47">
        <f>IF(J45="LINE ITEM",IFERROR(INDEX(Builder[Shifts / Units],I45),""),"")</f>
        <v/>
      </c>
      <c r="G45" s="50">
        <f>IF(J45="LINE ITEM",IFERROR(INDEX(Builder[Amount (auto)],I45),""),"")</f>
        <v/>
      </c>
      <c r="I45">
        <f>ROW()-23</f>
        <v/>
      </c>
      <c r="J45">
        <f>INDEX(Builder[Row Type],I45)</f>
        <v/>
      </c>
    </row>
    <row r="46" ht="27.75" customHeight="1" s="63">
      <c r="B46" s="47">
        <f>IF(J46="LINE ITEM",IFERROR(INDEX(Builder[Qty],I46),""),"")</f>
        <v/>
      </c>
      <c r="C46" s="48">
        <f>IF(J46="SECTION HEADER",INDEX(Builder[Section Text (auto)],I46),IF(J46="LINE ITEM","x "&amp;T(INDEX(Builder[Final Description (auto)],I46)),""))</f>
        <v/>
      </c>
      <c r="D46" s="49">
        <f>IF(J46="LINE ITEM",IF(T(INDEX(Builder[Officer Type],I46))&lt;&gt;"","",T(INDEX(Builder[Notes / Posting Location],I46))),"")</f>
        <v/>
      </c>
      <c r="E46" s="50">
        <f>IF(J46="LINE ITEM",IFERROR(INDEX(Builder[Final Unit Price (auto)],I46),""),"")</f>
        <v/>
      </c>
      <c r="F46" s="47">
        <f>IF(J46="LINE ITEM",IFERROR(INDEX(Builder[Shifts / Units],I46),""),"")</f>
        <v/>
      </c>
      <c r="G46" s="50">
        <f>IF(J46="LINE ITEM",IFERROR(INDEX(Builder[Amount (auto)],I46),""),"")</f>
        <v/>
      </c>
      <c r="I46">
        <f>ROW()-23</f>
        <v/>
      </c>
      <c r="J46">
        <f>INDEX(Builder[Row Type],I46)</f>
        <v/>
      </c>
    </row>
    <row r="47" ht="27.75" customHeight="1" s="63">
      <c r="B47" s="47">
        <f>IF(J47="LINE ITEM",IFERROR(INDEX(Builder[Qty],I47),""),"")</f>
        <v/>
      </c>
      <c r="C47" s="48">
        <f>IF(J47="SECTION HEADER",INDEX(Builder[Section Text (auto)],I47),IF(J47="LINE ITEM","x "&amp;T(INDEX(Builder[Final Description (auto)],I47)),""))</f>
        <v/>
      </c>
      <c r="D47" s="49">
        <f>IF(J47="LINE ITEM",IF(T(INDEX(Builder[Officer Type],I47))&lt;&gt;"","",T(INDEX(Builder[Notes / Posting Location],I47))),"")</f>
        <v/>
      </c>
      <c r="E47" s="50">
        <f>IF(J47="LINE ITEM",IFERROR(INDEX(Builder[Final Unit Price (auto)],I47),""),"")</f>
        <v/>
      </c>
      <c r="F47" s="47">
        <f>IF(J47="LINE ITEM",IFERROR(INDEX(Builder[Shifts / Units],I47),""),"")</f>
        <v/>
      </c>
      <c r="G47" s="50">
        <f>IF(J47="LINE ITEM",IFERROR(INDEX(Builder[Amount (auto)],I47),""),"")</f>
        <v/>
      </c>
      <c r="I47">
        <f>ROW()-23</f>
        <v/>
      </c>
      <c r="J47">
        <f>INDEX(Builder[Row Type],I47)</f>
        <v/>
      </c>
    </row>
    <row r="48" ht="27.75" customHeight="1" s="63">
      <c r="B48" s="47">
        <f>IF(J48="LINE ITEM",IFERROR(INDEX(Builder[Qty],I48),""),"")</f>
        <v/>
      </c>
      <c r="C48" s="48">
        <f>IF(J48="SECTION HEADER",INDEX(Builder[Section Text (auto)],I48),IF(J48="LINE ITEM","x "&amp;T(INDEX(Builder[Final Description (auto)],I48)),""))</f>
        <v/>
      </c>
      <c r="D48" s="49">
        <f>IF(J48="LINE ITEM",IF(T(INDEX(Builder[Officer Type],I48))&lt;&gt;"","",T(INDEX(Builder[Notes / Posting Location],I48))),"")</f>
        <v/>
      </c>
      <c r="E48" s="50">
        <f>IF(J48="LINE ITEM",IFERROR(INDEX(Builder[Final Unit Price (auto)],I48),""),"")</f>
        <v/>
      </c>
      <c r="F48" s="47">
        <f>IF(J48="LINE ITEM",IFERROR(INDEX(Builder[Shifts / Units],I48),""),"")</f>
        <v/>
      </c>
      <c r="G48" s="50">
        <f>IF(J48="LINE ITEM",IFERROR(INDEX(Builder[Amount (auto)],I48),""),"")</f>
        <v/>
      </c>
      <c r="I48">
        <f>ROW()-23</f>
        <v/>
      </c>
      <c r="J48">
        <f>INDEX(Builder[Row Type],I48)</f>
        <v/>
      </c>
    </row>
    <row r="49" ht="27.75" customHeight="1" s="63">
      <c r="B49" s="47">
        <f>IF(J49="LINE ITEM",IFERROR(INDEX(Builder[Qty],I49),""),"")</f>
        <v/>
      </c>
      <c r="C49" s="48">
        <f>IF(J49="SECTION HEADER",INDEX(Builder[Section Text (auto)],I49),IF(J49="LINE ITEM","x "&amp;T(INDEX(Builder[Final Description (auto)],I49)),""))</f>
        <v/>
      </c>
      <c r="D49" s="49">
        <f>IF(J49="LINE ITEM",IF(T(INDEX(Builder[Officer Type],I49))&lt;&gt;"","",T(INDEX(Builder[Notes / Posting Location],I49))),"")</f>
        <v/>
      </c>
      <c r="E49" s="50">
        <f>IF(J49="LINE ITEM",IFERROR(INDEX(Builder[Final Unit Price (auto)],I49),""),"")</f>
        <v/>
      </c>
      <c r="F49" s="47">
        <f>IF(J49="LINE ITEM",IFERROR(INDEX(Builder[Shifts / Units],I49),""),"")</f>
        <v/>
      </c>
      <c r="G49" s="50">
        <f>IF(J49="LINE ITEM",IFERROR(INDEX(Builder[Amount (auto)],I49),""),"")</f>
        <v/>
      </c>
      <c r="I49">
        <f>ROW()-23</f>
        <v/>
      </c>
      <c r="J49">
        <f>INDEX(Builder[Row Type],I49)</f>
        <v/>
      </c>
    </row>
    <row r="50" ht="27.75" customHeight="1" s="63">
      <c r="B50" s="47">
        <f>IF(J50="LINE ITEM",IFERROR(INDEX(Builder[Qty],I50),""),"")</f>
        <v/>
      </c>
      <c r="C50" s="48">
        <f>IF(J50="SECTION HEADER",INDEX(Builder[Section Text (auto)],I50),IF(J50="LINE ITEM","x "&amp;T(INDEX(Builder[Final Description (auto)],I50)),""))</f>
        <v/>
      </c>
      <c r="D50" s="49">
        <f>IF(J50="LINE ITEM",IF(T(INDEX(Builder[Officer Type],I50))&lt;&gt;"","",T(INDEX(Builder[Notes / Posting Location],I50))),"")</f>
        <v/>
      </c>
      <c r="E50" s="50">
        <f>IF(J50="LINE ITEM",IFERROR(INDEX(Builder[Final Unit Price (auto)],I50),""),"")</f>
        <v/>
      </c>
      <c r="F50" s="47">
        <f>IF(J50="LINE ITEM",IFERROR(INDEX(Builder[Shifts / Units],I50),""),"")</f>
        <v/>
      </c>
      <c r="G50" s="50">
        <f>IF(J50="LINE ITEM",IFERROR(INDEX(Builder[Amount (auto)],I50),""),"")</f>
        <v/>
      </c>
      <c r="I50">
        <f>ROW()-23</f>
        <v/>
      </c>
      <c r="J50">
        <f>INDEX(Builder[Row Type],I50)</f>
        <v/>
      </c>
    </row>
    <row r="51" ht="27.75" customHeight="1" s="63">
      <c r="B51" s="47">
        <f>IF(J51="LINE ITEM",IFERROR(INDEX(Builder[Qty],I51),""),"")</f>
        <v/>
      </c>
      <c r="C51" s="48">
        <f>IF(J51="SECTION HEADER",INDEX(Builder[Section Text (auto)],I51),IF(J51="LINE ITEM","x "&amp;T(INDEX(Builder[Final Description (auto)],I51)),""))</f>
        <v/>
      </c>
      <c r="D51" s="49">
        <f>IF(J51="LINE ITEM",IF(T(INDEX(Builder[Officer Type],I51))&lt;&gt;"","",T(INDEX(Builder[Notes / Posting Location],I51))),"")</f>
        <v/>
      </c>
      <c r="E51" s="50">
        <f>IF(J51="LINE ITEM",IFERROR(INDEX(Builder[Final Unit Price (auto)],I51),""),"")</f>
        <v/>
      </c>
      <c r="F51" s="47">
        <f>IF(J51="LINE ITEM",IFERROR(INDEX(Builder[Shifts / Units],I51),""),"")</f>
        <v/>
      </c>
      <c r="G51" s="50">
        <f>IF(J51="LINE ITEM",IFERROR(INDEX(Builder[Amount (auto)],I51),""),"")</f>
        <v/>
      </c>
      <c r="I51">
        <f>ROW()-23</f>
        <v/>
      </c>
      <c r="J51">
        <f>INDEX(Builder[Row Type],I51)</f>
        <v/>
      </c>
    </row>
    <row r="52" ht="27.75" customHeight="1" s="63">
      <c r="B52" s="47">
        <f>IF(J52="LINE ITEM",IFERROR(INDEX(Builder[Qty],I52),""),"")</f>
        <v/>
      </c>
      <c r="C52" s="48">
        <f>IF(J52="SECTION HEADER",INDEX(Builder[Section Text (auto)],I52),IF(J52="LINE ITEM","x "&amp;T(INDEX(Builder[Final Description (auto)],I52)),""))</f>
        <v/>
      </c>
      <c r="D52" s="49">
        <f>IF(J52="LINE ITEM",IF(T(INDEX(Builder[Officer Type],I52))&lt;&gt;"","",T(INDEX(Builder[Notes / Posting Location],I52))),"")</f>
        <v/>
      </c>
      <c r="E52" s="50">
        <f>IF(J52="LINE ITEM",IFERROR(INDEX(Builder[Final Unit Price (auto)],I52),""),"")</f>
        <v/>
      </c>
      <c r="F52" s="47">
        <f>IF(J52="LINE ITEM",IFERROR(INDEX(Builder[Shifts / Units],I52),""),"")</f>
        <v/>
      </c>
      <c r="G52" s="50">
        <f>IF(J52="LINE ITEM",IFERROR(INDEX(Builder[Amount (auto)],I52),""),"")</f>
        <v/>
      </c>
      <c r="I52">
        <f>ROW()-23</f>
        <v/>
      </c>
      <c r="J52">
        <f>INDEX(Builder[Row Type],I52)</f>
        <v/>
      </c>
    </row>
    <row r="53" ht="27.75" customHeight="1" s="63">
      <c r="B53" s="47">
        <f>IF(J53="LINE ITEM",IFERROR(INDEX(Builder[Qty],I53),""),"")</f>
        <v/>
      </c>
      <c r="C53" s="48">
        <f>IF(J53="SECTION HEADER",INDEX(Builder[Section Text (auto)],I53),IF(J53="LINE ITEM","x "&amp;T(INDEX(Builder[Final Description (auto)],I53)),""))</f>
        <v/>
      </c>
      <c r="D53" s="49">
        <f>IF(J53="LINE ITEM",IF(T(INDEX(Builder[Officer Type],I53))&lt;&gt;"","",T(INDEX(Builder[Notes / Posting Location],I53))),"")</f>
        <v/>
      </c>
      <c r="E53" s="50">
        <f>IF(J53="LINE ITEM",IFERROR(INDEX(Builder[Final Unit Price (auto)],I53),""),"")</f>
        <v/>
      </c>
      <c r="F53" s="47">
        <f>IF(J53="LINE ITEM",IFERROR(INDEX(Builder[Shifts / Units],I53),""),"")</f>
        <v/>
      </c>
      <c r="G53" s="50">
        <f>IF(J53="LINE ITEM",IFERROR(INDEX(Builder[Amount (auto)],I53),""),"")</f>
        <v/>
      </c>
      <c r="I53">
        <f>ROW()-23</f>
        <v/>
      </c>
      <c r="J53">
        <f>INDEX(Builder[Row Type],I53)</f>
        <v/>
      </c>
    </row>
    <row r="54" ht="27.75" customHeight="1" s="63">
      <c r="B54" s="47">
        <f>IF(J54="LINE ITEM",IFERROR(INDEX(Builder[Qty],I54),""),"")</f>
        <v/>
      </c>
      <c r="C54" s="48">
        <f>IF(J54="SECTION HEADER",INDEX(Builder[Section Text (auto)],I54),IF(J54="LINE ITEM","x "&amp;T(INDEX(Builder[Final Description (auto)],I54)),""))</f>
        <v/>
      </c>
      <c r="D54" s="49">
        <f>IF(J54="LINE ITEM",IF(T(INDEX(Builder[Officer Type],I54))&lt;&gt;"","",T(INDEX(Builder[Notes / Posting Location],I54))),"")</f>
        <v/>
      </c>
      <c r="E54" s="50">
        <f>IF(J54="LINE ITEM",IFERROR(INDEX(Builder[Final Unit Price (auto)],I54),""),"")</f>
        <v/>
      </c>
      <c r="F54" s="47">
        <f>IF(J54="LINE ITEM",IFERROR(INDEX(Builder[Shifts / Units],I54),""),"")</f>
        <v/>
      </c>
      <c r="G54" s="50">
        <f>IF(J54="LINE ITEM",IFERROR(INDEX(Builder[Amount (auto)],I54),""),"")</f>
        <v/>
      </c>
      <c r="I54">
        <f>ROW()-23</f>
        <v/>
      </c>
      <c r="J54">
        <f>INDEX(Builder[Row Type],I54)</f>
        <v/>
      </c>
    </row>
    <row r="55" ht="27.75" customHeight="1" s="63">
      <c r="B55" s="47">
        <f>IF(J55="LINE ITEM",IFERROR(INDEX(Builder[Qty],I55),""),"")</f>
        <v/>
      </c>
      <c r="C55" s="48">
        <f>IF(J55="SECTION HEADER",INDEX(Builder[Section Text (auto)],I55),IF(J55="LINE ITEM","x "&amp;T(INDEX(Builder[Final Description (auto)],I55)),""))</f>
        <v/>
      </c>
      <c r="D55" s="49">
        <f>IF(J55="LINE ITEM",IF(T(INDEX(Builder[Officer Type],I55))&lt;&gt;"","",T(INDEX(Builder[Notes / Posting Location],I55))),"")</f>
        <v/>
      </c>
      <c r="E55" s="50">
        <f>IF(J55="LINE ITEM",IFERROR(INDEX(Builder[Final Unit Price (auto)],I55),""),"")</f>
        <v/>
      </c>
      <c r="F55" s="47">
        <f>IF(J55="LINE ITEM",IFERROR(INDEX(Builder[Shifts / Units],I55),""),"")</f>
        <v/>
      </c>
      <c r="G55" s="50">
        <f>IF(J55="LINE ITEM",IFERROR(INDEX(Builder[Amount (auto)],I55),""),"")</f>
        <v/>
      </c>
      <c r="I55">
        <f>ROW()-23</f>
        <v/>
      </c>
      <c r="J55">
        <f>INDEX(Builder[Row Type],I55)</f>
        <v/>
      </c>
    </row>
    <row r="56" ht="27.75" customHeight="1" s="63">
      <c r="B56" s="47">
        <f>IF(J56="LINE ITEM",IFERROR(INDEX(Builder[Qty],I56),""),"")</f>
        <v/>
      </c>
      <c r="C56" s="48">
        <f>IF(J56="SECTION HEADER",INDEX(Builder[Section Text (auto)],I56),IF(J56="LINE ITEM","x "&amp;T(INDEX(Builder[Final Description (auto)],I56)),""))</f>
        <v/>
      </c>
      <c r="D56" s="49">
        <f>IF(J56="LINE ITEM",IF(T(INDEX(Builder[Officer Type],I56))&lt;&gt;"","",T(INDEX(Builder[Notes / Posting Location],I56))),"")</f>
        <v/>
      </c>
      <c r="E56" s="50">
        <f>IF(J56="LINE ITEM",IFERROR(INDEX(Builder[Final Unit Price (auto)],I56),""),"")</f>
        <v/>
      </c>
      <c r="F56" s="47">
        <f>IF(J56="LINE ITEM",IFERROR(INDEX(Builder[Shifts / Units],I56),""),"")</f>
        <v/>
      </c>
      <c r="G56" s="50">
        <f>IF(J56="LINE ITEM",IFERROR(INDEX(Builder[Amount (auto)],I56),""),"")</f>
        <v/>
      </c>
      <c r="I56">
        <f>ROW()-23</f>
        <v/>
      </c>
      <c r="J56">
        <f>INDEX(Builder[Row Type],I56)</f>
        <v/>
      </c>
    </row>
    <row r="57" ht="27.75" customHeight="1" s="63">
      <c r="B57" s="47">
        <f>IF(J57="LINE ITEM",IFERROR(INDEX(Builder[Qty],I57),""),"")</f>
        <v/>
      </c>
      <c r="C57" s="48">
        <f>IF(J57="SECTION HEADER",INDEX(Builder[Section Text (auto)],I57),IF(J57="LINE ITEM","x "&amp;T(INDEX(Builder[Final Description (auto)],I57)),""))</f>
        <v/>
      </c>
      <c r="D57" s="49">
        <f>IF(J57="LINE ITEM",IF(T(INDEX(Builder[Officer Type],I57))&lt;&gt;"","",T(INDEX(Builder[Notes / Posting Location],I57))),"")</f>
        <v/>
      </c>
      <c r="E57" s="50">
        <f>IF(J57="LINE ITEM",IFERROR(INDEX(Builder[Final Unit Price (auto)],I57),""),"")</f>
        <v/>
      </c>
      <c r="F57" s="47">
        <f>IF(J57="LINE ITEM",IFERROR(INDEX(Builder[Shifts / Units],I57),""),"")</f>
        <v/>
      </c>
      <c r="G57" s="50">
        <f>IF(J57="LINE ITEM",IFERROR(INDEX(Builder[Amount (auto)],I57),""),"")</f>
        <v/>
      </c>
      <c r="I57">
        <f>ROW()-23</f>
        <v/>
      </c>
      <c r="J57">
        <f>INDEX(Builder[Row Type],I57)</f>
        <v/>
      </c>
    </row>
    <row r="58" ht="27.75" customHeight="1" s="63">
      <c r="B58" s="47">
        <f>IF(J58="LINE ITEM",IFERROR(INDEX(Builder[Qty],I58),""),"")</f>
        <v/>
      </c>
      <c r="C58" s="48">
        <f>IF(J58="SECTION HEADER",INDEX(Builder[Section Text (auto)],I58),IF(J58="LINE ITEM","x "&amp;T(INDEX(Builder[Final Description (auto)],I58)),""))</f>
        <v/>
      </c>
      <c r="D58" s="49">
        <f>IF(J58="LINE ITEM",IF(T(INDEX(Builder[Officer Type],I58))&lt;&gt;"","",T(INDEX(Builder[Notes / Posting Location],I58))),"")</f>
        <v/>
      </c>
      <c r="E58" s="50">
        <f>IF(J58="LINE ITEM",IFERROR(INDEX(Builder[Final Unit Price (auto)],I58),""),"")</f>
        <v/>
      </c>
      <c r="F58" s="47">
        <f>IF(J58="LINE ITEM",IFERROR(INDEX(Builder[Shifts / Units],I58),""),"")</f>
        <v/>
      </c>
      <c r="G58" s="50">
        <f>IF(J58="LINE ITEM",IFERROR(INDEX(Builder[Amount (auto)],I58),""),"")</f>
        <v/>
      </c>
      <c r="I58">
        <f>ROW()-23</f>
        <v/>
      </c>
      <c r="J58">
        <f>INDEX(Builder[Row Type],I58)</f>
        <v/>
      </c>
    </row>
    <row r="59" ht="27.75" customHeight="1" s="63">
      <c r="B59" s="47">
        <f>IF(J59="LINE ITEM",IFERROR(INDEX(Builder[Qty],I59),""),"")</f>
        <v/>
      </c>
      <c r="C59" s="48">
        <f>IF(J59="SECTION HEADER",INDEX(Builder[Section Text (auto)],I59),IF(J59="LINE ITEM","x "&amp;T(INDEX(Builder[Final Description (auto)],I59)),""))</f>
        <v/>
      </c>
      <c r="D59" s="49">
        <f>IF(J59="LINE ITEM",IF(T(INDEX(Builder[Officer Type],I59))&lt;&gt;"","",T(INDEX(Builder[Notes / Posting Location],I59))),"")</f>
        <v/>
      </c>
      <c r="E59" s="50">
        <f>IF(J59="LINE ITEM",IFERROR(INDEX(Builder[Final Unit Price (auto)],I59),""),"")</f>
        <v/>
      </c>
      <c r="F59" s="47">
        <f>IF(J59="LINE ITEM",IFERROR(INDEX(Builder[Shifts / Units],I59),""),"")</f>
        <v/>
      </c>
      <c r="G59" s="50">
        <f>IF(J59="LINE ITEM",IFERROR(INDEX(Builder[Amount (auto)],I59),""),"")</f>
        <v/>
      </c>
      <c r="I59">
        <f>ROW()-23</f>
        <v/>
      </c>
      <c r="J59">
        <f>INDEX(Builder[Row Type],I59)</f>
        <v/>
      </c>
    </row>
    <row r="60" ht="27.75" customHeight="1" s="63">
      <c r="B60" s="47">
        <f>IF(J60="LINE ITEM",IFERROR(INDEX(Builder[Qty],I60),""),"")</f>
        <v/>
      </c>
      <c r="C60" s="48">
        <f>IF(J60="SECTION HEADER",INDEX(Builder[Section Text (auto)],I60),IF(J60="LINE ITEM","x "&amp;T(INDEX(Builder[Final Description (auto)],I60)),""))</f>
        <v/>
      </c>
      <c r="D60" s="49">
        <f>IF(J60="LINE ITEM",IF(T(INDEX(Builder[Officer Type],I60))&lt;&gt;"","",T(INDEX(Builder[Notes / Posting Location],I60))),"")</f>
        <v/>
      </c>
      <c r="E60" s="50">
        <f>IF(J60="LINE ITEM",IFERROR(INDEX(Builder[Final Unit Price (auto)],I60),""),"")</f>
        <v/>
      </c>
      <c r="F60" s="47">
        <f>IF(J60="LINE ITEM",IFERROR(INDEX(Builder[Shifts / Units],I60),""),"")</f>
        <v/>
      </c>
      <c r="G60" s="50">
        <f>IF(J60="LINE ITEM",IFERROR(INDEX(Builder[Amount (auto)],I60),""),"")</f>
        <v/>
      </c>
      <c r="I60">
        <f>ROW()-23</f>
        <v/>
      </c>
      <c r="J60">
        <f>INDEX(Builder[Row Type],I60)</f>
        <v/>
      </c>
    </row>
    <row r="61" ht="27.75" customHeight="1" s="63">
      <c r="B61" s="47">
        <f>IF(J61="LINE ITEM",IFERROR(INDEX(Builder[Qty],I61),""),"")</f>
        <v/>
      </c>
      <c r="C61" s="48">
        <f>IF(J61="SECTION HEADER",INDEX(Builder[Section Text (auto)],I61),IF(J61="LINE ITEM","x "&amp;T(INDEX(Builder[Final Description (auto)],I61)),""))</f>
        <v/>
      </c>
      <c r="D61" s="49">
        <f>IF(J61="LINE ITEM",IF(T(INDEX(Builder[Officer Type],I61))&lt;&gt;"","",T(INDEX(Builder[Notes / Posting Location],I61))),"")</f>
        <v/>
      </c>
      <c r="E61" s="50">
        <f>IF(J61="LINE ITEM",IFERROR(INDEX(Builder[Final Unit Price (auto)],I61),""),"")</f>
        <v/>
      </c>
      <c r="F61" s="47">
        <f>IF(J61="LINE ITEM",IFERROR(INDEX(Builder[Shifts / Units],I61),""),"")</f>
        <v/>
      </c>
      <c r="G61" s="50">
        <f>IF(J61="LINE ITEM",IFERROR(INDEX(Builder[Amount (auto)],I61),""),"")</f>
        <v/>
      </c>
      <c r="I61">
        <f>ROW()-23</f>
        <v/>
      </c>
      <c r="J61">
        <f>INDEX(Builder[Row Type],I61)</f>
        <v/>
      </c>
    </row>
    <row r="62" ht="27.75" customHeight="1" s="63">
      <c r="B62" s="47">
        <f>IF(J62="LINE ITEM",IFERROR(INDEX(Builder[Qty],I62),""),"")</f>
        <v/>
      </c>
      <c r="C62" s="48">
        <f>IF(J62="SECTION HEADER",INDEX(Builder[Section Text (auto)],I62),IF(J62="LINE ITEM","x "&amp;T(INDEX(Builder[Final Description (auto)],I62)),""))</f>
        <v/>
      </c>
      <c r="D62" s="49">
        <f>IF(J62="LINE ITEM",IF(T(INDEX(Builder[Officer Type],I62))&lt;&gt;"","",T(INDEX(Builder[Notes / Posting Location],I62))),"")</f>
        <v/>
      </c>
      <c r="E62" s="50">
        <f>IF(J62="LINE ITEM",IFERROR(INDEX(Builder[Final Unit Price (auto)],I62),""),"")</f>
        <v/>
      </c>
      <c r="F62" s="47">
        <f>IF(J62="LINE ITEM",IFERROR(INDEX(Builder[Shifts / Units],I62),""),"")</f>
        <v/>
      </c>
      <c r="G62" s="50">
        <f>IF(J62="LINE ITEM",IFERROR(INDEX(Builder[Amount (auto)],I62),""),"")</f>
        <v/>
      </c>
      <c r="I62">
        <f>ROW()-23</f>
        <v/>
      </c>
      <c r="J62">
        <f>INDEX(Builder[Row Type],I62)</f>
        <v/>
      </c>
    </row>
    <row r="63" ht="27.75" customHeight="1" s="63">
      <c r="B63" s="47">
        <f>IF(J63="LINE ITEM",IFERROR(INDEX(Builder[Qty],I63),""),"")</f>
        <v/>
      </c>
      <c r="C63" s="48">
        <f>IF(J63="SECTION HEADER",INDEX(Builder[Section Text (auto)],I63),IF(J63="LINE ITEM","x "&amp;T(INDEX(Builder[Final Description (auto)],I63)),""))</f>
        <v/>
      </c>
      <c r="D63" s="49">
        <f>IF(J63="LINE ITEM",IF(T(INDEX(Builder[Officer Type],I63))&lt;&gt;"","",T(INDEX(Builder[Notes / Posting Location],I63))),"")</f>
        <v/>
      </c>
      <c r="E63" s="50">
        <f>IF(J63="LINE ITEM",IFERROR(INDEX(Builder[Final Unit Price (auto)],I63),""),"")</f>
        <v/>
      </c>
      <c r="F63" s="47">
        <f>IF(J63="LINE ITEM",IFERROR(INDEX(Builder[Shifts / Units],I63),""),"")</f>
        <v/>
      </c>
      <c r="G63" s="50">
        <f>IF(J63="LINE ITEM",IFERROR(INDEX(Builder[Amount (auto)],I63),""),"")</f>
        <v/>
      </c>
      <c r="I63">
        <f>ROW()-23</f>
        <v/>
      </c>
      <c r="J63">
        <f>INDEX(Builder[Row Type],I63)</f>
        <v/>
      </c>
    </row>
    <row r="64" ht="27.75" customHeight="1" s="63">
      <c r="B64" s="47">
        <f>IF(J64="LINE ITEM",IFERROR(INDEX(Builder[Qty],I64),""),"")</f>
        <v/>
      </c>
      <c r="C64" s="48">
        <f>IF(J64="SECTION HEADER",INDEX(Builder[Section Text (auto)],I64),IF(J64="LINE ITEM","x "&amp;T(INDEX(Builder[Final Description (auto)],I64)),""))</f>
        <v/>
      </c>
      <c r="D64" s="49">
        <f>IF(J64="LINE ITEM",IF(T(INDEX(Builder[Officer Type],I64))&lt;&gt;"","",T(INDEX(Builder[Notes / Posting Location],I64))),"")</f>
        <v/>
      </c>
      <c r="E64" s="50">
        <f>IF(J64="LINE ITEM",IFERROR(INDEX(Builder[Final Unit Price (auto)],I64),""),"")</f>
        <v/>
      </c>
      <c r="F64" s="47">
        <f>IF(J64="LINE ITEM",IFERROR(INDEX(Builder[Shifts / Units],I64),""),"")</f>
        <v/>
      </c>
      <c r="G64" s="50">
        <f>IF(J64="LINE ITEM",IFERROR(INDEX(Builder[Amount (auto)],I64),""),"")</f>
        <v/>
      </c>
      <c r="I64">
        <f>ROW()-23</f>
        <v/>
      </c>
      <c r="J64">
        <f>INDEX(Builder[Row Type],I64)</f>
        <v/>
      </c>
    </row>
    <row r="65" ht="27.75" customHeight="1" s="63">
      <c r="B65" s="47">
        <f>IF(J65="LINE ITEM",IFERROR(INDEX(Builder[Qty],I65),""),"")</f>
        <v/>
      </c>
      <c r="C65" s="48">
        <f>IF(J65="SECTION HEADER",INDEX(Builder[Section Text (auto)],I65),IF(J65="LINE ITEM","x "&amp;T(INDEX(Builder[Final Description (auto)],I65)),""))</f>
        <v/>
      </c>
      <c r="D65" s="49">
        <f>IF(J65="LINE ITEM",IF(T(INDEX(Builder[Officer Type],I65))&lt;&gt;"","",T(INDEX(Builder[Notes / Posting Location],I65))),"")</f>
        <v/>
      </c>
      <c r="E65" s="50">
        <f>IF(J65="LINE ITEM",IFERROR(INDEX(Builder[Final Unit Price (auto)],I65),""),"")</f>
        <v/>
      </c>
      <c r="F65" s="47">
        <f>IF(J65="LINE ITEM",IFERROR(INDEX(Builder[Shifts / Units],I65),""),"")</f>
        <v/>
      </c>
      <c r="G65" s="50">
        <f>IF(J65="LINE ITEM",IFERROR(INDEX(Builder[Amount (auto)],I65),""),"")</f>
        <v/>
      </c>
      <c r="I65">
        <f>ROW()-23</f>
        <v/>
      </c>
      <c r="J65">
        <f>INDEX(Builder[Row Type],I65)</f>
        <v/>
      </c>
    </row>
    <row r="66" ht="27.75" customHeight="1" s="63">
      <c r="B66" s="47">
        <f>IF(J66="LINE ITEM",IFERROR(INDEX(Builder[Qty],I66),""),"")</f>
        <v/>
      </c>
      <c r="C66" s="48">
        <f>IF(J66="SECTION HEADER",INDEX(Builder[Section Text (auto)],I66),IF(J66="LINE ITEM","x "&amp;T(INDEX(Builder[Final Description (auto)],I66)),""))</f>
        <v/>
      </c>
      <c r="D66" s="49">
        <f>IF(J66="LINE ITEM",IF(T(INDEX(Builder[Officer Type],I66))&lt;&gt;"","",T(INDEX(Builder[Notes / Posting Location],I66))),"")</f>
        <v/>
      </c>
      <c r="E66" s="50">
        <f>IF(J66="LINE ITEM",IFERROR(INDEX(Builder[Final Unit Price (auto)],I66),""),"")</f>
        <v/>
      </c>
      <c r="F66" s="47">
        <f>IF(J66="LINE ITEM",IFERROR(INDEX(Builder[Shifts / Units],I66),""),"")</f>
        <v/>
      </c>
      <c r="G66" s="50">
        <f>IF(J66="LINE ITEM",IFERROR(INDEX(Builder[Amount (auto)],I66),""),"")</f>
        <v/>
      </c>
      <c r="I66">
        <f>ROW()-23</f>
        <v/>
      </c>
      <c r="J66">
        <f>INDEX(Builder[Row Type],I66)</f>
        <v/>
      </c>
    </row>
    <row r="67" ht="27.75" customHeight="1" s="63">
      <c r="B67" s="47">
        <f>IF(J67="LINE ITEM",IFERROR(INDEX(Builder[Qty],I67),""),"")</f>
        <v/>
      </c>
      <c r="C67" s="48">
        <f>IF(J67="SECTION HEADER",INDEX(Builder[Section Text (auto)],I67),IF(J67="LINE ITEM","x "&amp;T(INDEX(Builder[Final Description (auto)],I67)),""))</f>
        <v/>
      </c>
      <c r="D67" s="49">
        <f>IF(J67="LINE ITEM",IF(T(INDEX(Builder[Officer Type],I67))&lt;&gt;"","",T(INDEX(Builder[Notes / Posting Location],I67))),"")</f>
        <v/>
      </c>
      <c r="E67" s="50">
        <f>IF(J67="LINE ITEM",IFERROR(INDEX(Builder[Final Unit Price (auto)],I67),""),"")</f>
        <v/>
      </c>
      <c r="F67" s="47">
        <f>IF(J67="LINE ITEM",IFERROR(INDEX(Builder[Shifts / Units],I67),""),"")</f>
        <v/>
      </c>
      <c r="G67" s="50">
        <f>IF(J67="LINE ITEM",IFERROR(INDEX(Builder[Amount (auto)],I67),""),"")</f>
        <v/>
      </c>
      <c r="I67">
        <f>ROW()-23</f>
        <v/>
      </c>
      <c r="J67">
        <f>INDEX(Builder[Row Type],I67)</f>
        <v/>
      </c>
    </row>
    <row r="68" ht="27.75" customHeight="1" s="63">
      <c r="B68" s="47">
        <f>IF(J68="LINE ITEM",IFERROR(INDEX(Builder[Qty],I68),""),"")</f>
        <v/>
      </c>
      <c r="C68" s="48">
        <f>IF(J68="SECTION HEADER",INDEX(Builder[Section Text (auto)],I68),IF(J68="LINE ITEM","x "&amp;T(INDEX(Builder[Final Description (auto)],I68)),""))</f>
        <v/>
      </c>
      <c r="D68" s="49">
        <f>IF(J68="LINE ITEM",IF(T(INDEX(Builder[Officer Type],I68))&lt;&gt;"","",T(INDEX(Builder[Notes / Posting Location],I68))),"")</f>
        <v/>
      </c>
      <c r="E68" s="50">
        <f>IF(J68="LINE ITEM",IFERROR(INDEX(Builder[Final Unit Price (auto)],I68),""),"")</f>
        <v/>
      </c>
      <c r="F68" s="47">
        <f>IF(J68="LINE ITEM",IFERROR(INDEX(Builder[Shifts / Units],I68),""),"")</f>
        <v/>
      </c>
      <c r="G68" s="50">
        <f>IF(J68="LINE ITEM",IFERROR(INDEX(Builder[Amount (auto)],I68),""),"")</f>
        <v/>
      </c>
      <c r="I68">
        <f>ROW()-23</f>
        <v/>
      </c>
      <c r="J68">
        <f>INDEX(Builder[Row Type],I68)</f>
        <v/>
      </c>
    </row>
    <row r="69" ht="27.75" customHeight="1" s="63">
      <c r="B69" s="47">
        <f>IF(J69="LINE ITEM",IFERROR(INDEX(Builder[Qty],I69),""),"")</f>
        <v/>
      </c>
      <c r="C69" s="48">
        <f>IF(J69="SECTION HEADER",INDEX(Builder[Section Text (auto)],I69),IF(J69="LINE ITEM","x "&amp;T(INDEX(Builder[Final Description (auto)],I69)),""))</f>
        <v/>
      </c>
      <c r="D69" s="49">
        <f>IF(J69="LINE ITEM",IF(T(INDEX(Builder[Officer Type],I69))&lt;&gt;"","",T(INDEX(Builder[Notes / Posting Location],I69))),"")</f>
        <v/>
      </c>
      <c r="E69" s="50">
        <f>IF(J69="LINE ITEM",IFERROR(INDEX(Builder[Final Unit Price (auto)],I69),""),"")</f>
        <v/>
      </c>
      <c r="F69" s="47">
        <f>IF(J69="LINE ITEM",IFERROR(INDEX(Builder[Shifts / Units],I69),""),"")</f>
        <v/>
      </c>
      <c r="G69" s="50">
        <f>IF(J69="LINE ITEM",IFERROR(INDEX(Builder[Amount (auto)],I69),""),"")</f>
        <v/>
      </c>
      <c r="I69">
        <f>ROW()-23</f>
        <v/>
      </c>
      <c r="J69">
        <f>INDEX(Builder[Row Type],I69)</f>
        <v/>
      </c>
    </row>
    <row r="70" ht="27.75" customHeight="1" s="63">
      <c r="B70" s="47">
        <f>IF(J70="LINE ITEM",IFERROR(INDEX(Builder[Qty],I70),""),"")</f>
        <v/>
      </c>
      <c r="C70" s="48">
        <f>IF(J70="SECTION HEADER",INDEX(Builder[Section Text (auto)],I70),IF(J70="LINE ITEM","x "&amp;T(INDEX(Builder[Final Description (auto)],I70)),""))</f>
        <v/>
      </c>
      <c r="D70" s="49">
        <f>IF(J70="LINE ITEM",IF(T(INDEX(Builder[Officer Type],I70))&lt;&gt;"","",T(INDEX(Builder[Notes / Posting Location],I70))),"")</f>
        <v/>
      </c>
      <c r="E70" s="50">
        <f>IF(J70="LINE ITEM",IFERROR(INDEX(Builder[Final Unit Price (auto)],I70),""),"")</f>
        <v/>
      </c>
      <c r="F70" s="47">
        <f>IF(J70="LINE ITEM",IFERROR(INDEX(Builder[Shifts / Units],I70),""),"")</f>
        <v/>
      </c>
      <c r="G70" s="50">
        <f>IF(J70="LINE ITEM",IFERROR(INDEX(Builder[Amount (auto)],I70),""),"")</f>
        <v/>
      </c>
      <c r="I70">
        <f>ROW()-23</f>
        <v/>
      </c>
      <c r="J70">
        <f>INDEX(Builder[Row Type],I70)</f>
        <v/>
      </c>
    </row>
    <row r="71" ht="27.75" customHeight="1" s="63">
      <c r="B71" s="47">
        <f>IF(J71="LINE ITEM",IFERROR(INDEX(Builder[Qty],I71),""),"")</f>
        <v/>
      </c>
      <c r="C71" s="48">
        <f>IF(J71="SECTION HEADER",INDEX(Builder[Section Text (auto)],I71),IF(J71="LINE ITEM","x "&amp;T(INDEX(Builder[Final Description (auto)],I71)),""))</f>
        <v/>
      </c>
      <c r="D71" s="49">
        <f>IF(J71="LINE ITEM",IF(T(INDEX(Builder[Officer Type],I71))&lt;&gt;"","",T(INDEX(Builder[Notes / Posting Location],I71))),"")</f>
        <v/>
      </c>
      <c r="E71" s="50">
        <f>IF(J71="LINE ITEM",IFERROR(INDEX(Builder[Final Unit Price (auto)],I71),""),"")</f>
        <v/>
      </c>
      <c r="F71" s="47">
        <f>IF(J71="LINE ITEM",IFERROR(INDEX(Builder[Shifts / Units],I71),""),"")</f>
        <v/>
      </c>
      <c r="G71" s="50">
        <f>IF(J71="LINE ITEM",IFERROR(INDEX(Builder[Amount (auto)],I71),""),"")</f>
        <v/>
      </c>
      <c r="I71">
        <f>ROW()-23</f>
        <v/>
      </c>
      <c r="J71">
        <f>INDEX(Builder[Row Type],I71)</f>
        <v/>
      </c>
    </row>
    <row r="72" ht="27.75" customHeight="1" s="63">
      <c r="B72" s="47">
        <f>IF(J72="LINE ITEM",IFERROR(INDEX(Builder[Qty],I72),""),"")</f>
        <v/>
      </c>
      <c r="C72" s="48">
        <f>IF(J72="SECTION HEADER",INDEX(Builder[Section Text (auto)],I72),IF(J72="LINE ITEM","x "&amp;T(INDEX(Builder[Final Description (auto)],I72)),""))</f>
        <v/>
      </c>
      <c r="D72" s="49">
        <f>IF(J72="LINE ITEM",IF(T(INDEX(Builder[Officer Type],I72))&lt;&gt;"","",T(INDEX(Builder[Notes / Posting Location],I72))),"")</f>
        <v/>
      </c>
      <c r="E72" s="50">
        <f>IF(J72="LINE ITEM",IFERROR(INDEX(Builder[Final Unit Price (auto)],I72),""),"")</f>
        <v/>
      </c>
      <c r="F72" s="47">
        <f>IF(J72="LINE ITEM",IFERROR(INDEX(Builder[Shifts / Units],I72),""),"")</f>
        <v/>
      </c>
      <c r="G72" s="50">
        <f>IF(J72="LINE ITEM",IFERROR(INDEX(Builder[Amount (auto)],I72),""),"")</f>
        <v/>
      </c>
      <c r="I72">
        <f>ROW()-23</f>
        <v/>
      </c>
      <c r="J72">
        <f>INDEX(Builder[Row Type],I72)</f>
        <v/>
      </c>
    </row>
    <row r="73" ht="27.75" customHeight="1" s="63">
      <c r="B73" s="47">
        <f>IF(J73="LINE ITEM",IFERROR(INDEX(Builder[Qty],I73),""),"")</f>
        <v/>
      </c>
      <c r="C73" s="48">
        <f>IF(J73="SECTION HEADER",INDEX(Builder[Section Text (auto)],I73),IF(J73="LINE ITEM","x "&amp;T(INDEX(Builder[Final Description (auto)],I73)),""))</f>
        <v/>
      </c>
      <c r="D73" s="49">
        <f>IF(J73="LINE ITEM",IF(T(INDEX(Builder[Officer Type],I73))&lt;&gt;"","",T(INDEX(Builder[Notes / Posting Location],I73))),"")</f>
        <v/>
      </c>
      <c r="E73" s="50">
        <f>IF(J73="LINE ITEM",IFERROR(INDEX(Builder[Final Unit Price (auto)],I73),""),"")</f>
        <v/>
      </c>
      <c r="F73" s="47">
        <f>IF(J73="LINE ITEM",IFERROR(INDEX(Builder[Shifts / Units],I73),""),"")</f>
        <v/>
      </c>
      <c r="G73" s="50">
        <f>IF(J73="LINE ITEM",IFERROR(INDEX(Builder[Amount (auto)],I73),""),"")</f>
        <v/>
      </c>
      <c r="I73">
        <f>ROW()-23</f>
        <v/>
      </c>
      <c r="J73">
        <f>INDEX(Builder[Row Type],I73)</f>
        <v/>
      </c>
    </row>
    <row r="74" ht="27.75" customHeight="1" s="63">
      <c r="B74" s="47">
        <f>IF(J74="LINE ITEM",IFERROR(INDEX(Builder[Qty],I74),""),"")</f>
        <v/>
      </c>
      <c r="C74" s="48">
        <f>IF(J74="SECTION HEADER",INDEX(Builder[Section Text (auto)],I74),IF(J74="LINE ITEM","x "&amp;T(INDEX(Builder[Final Description (auto)],I74)),""))</f>
        <v/>
      </c>
      <c r="D74" s="49">
        <f>IF(J74="LINE ITEM",IF(T(INDEX(Builder[Officer Type],I74))&lt;&gt;"","",T(INDEX(Builder[Notes / Posting Location],I74))),"")</f>
        <v/>
      </c>
      <c r="E74" s="50">
        <f>IF(J74="LINE ITEM",IFERROR(INDEX(Builder[Final Unit Price (auto)],I74),""),"")</f>
        <v/>
      </c>
      <c r="F74" s="47">
        <f>IF(J74="LINE ITEM",IFERROR(INDEX(Builder[Shifts / Units],I74),""),"")</f>
        <v/>
      </c>
      <c r="G74" s="50">
        <f>IF(J74="LINE ITEM",IFERROR(INDEX(Builder[Amount (auto)],I74),""),"")</f>
        <v/>
      </c>
      <c r="I74">
        <f>ROW()-23</f>
        <v/>
      </c>
      <c r="J74">
        <f>INDEX(Builder[Row Type],I74)</f>
        <v/>
      </c>
    </row>
    <row r="75" ht="27.75" customHeight="1" s="63">
      <c r="B75" s="47">
        <f>IF(J75="LINE ITEM",IFERROR(INDEX(Builder[Qty],I75),""),"")</f>
        <v/>
      </c>
      <c r="C75" s="48">
        <f>IF(J75="SECTION HEADER",INDEX(Builder[Section Text (auto)],I75),IF(J75="LINE ITEM","x "&amp;T(INDEX(Builder[Final Description (auto)],I75)),""))</f>
        <v/>
      </c>
      <c r="D75" s="49">
        <f>IF(J75="LINE ITEM",IF(T(INDEX(Builder[Officer Type],I75))&lt;&gt;"","",T(INDEX(Builder[Notes / Posting Location],I75))),"")</f>
        <v/>
      </c>
      <c r="E75" s="50">
        <f>IF(J75="LINE ITEM",IFERROR(INDEX(Builder[Final Unit Price (auto)],I75),""),"")</f>
        <v/>
      </c>
      <c r="F75" s="47">
        <f>IF(J75="LINE ITEM",IFERROR(INDEX(Builder[Shifts / Units],I75),""),"")</f>
        <v/>
      </c>
      <c r="G75" s="50">
        <f>IF(J75="LINE ITEM",IFERROR(INDEX(Builder[Amount (auto)],I75),""),"")</f>
        <v/>
      </c>
      <c r="I75">
        <f>ROW()-23</f>
        <v/>
      </c>
      <c r="J75">
        <f>INDEX(Builder[Row Type],I75)</f>
        <v/>
      </c>
    </row>
    <row r="76" ht="27.75" customHeight="1" s="63">
      <c r="B76" s="47">
        <f>IF(J76="LINE ITEM",IFERROR(INDEX(Builder[Qty],I76),""),"")</f>
        <v/>
      </c>
      <c r="C76" s="48">
        <f>IF(J76="SECTION HEADER",INDEX(Builder[Section Text (auto)],I76),IF(J76="LINE ITEM","x "&amp;T(INDEX(Builder[Final Description (auto)],I76)),""))</f>
        <v/>
      </c>
      <c r="D76" s="49">
        <f>IF(J76="LINE ITEM",IF(T(INDEX(Builder[Officer Type],I76))&lt;&gt;"","",T(INDEX(Builder[Notes / Posting Location],I76))),"")</f>
        <v/>
      </c>
      <c r="E76" s="50">
        <f>IF(J76="LINE ITEM",IFERROR(INDEX(Builder[Final Unit Price (auto)],I76),""),"")</f>
        <v/>
      </c>
      <c r="F76" s="47">
        <f>IF(J76="LINE ITEM",IFERROR(INDEX(Builder[Shifts / Units],I76),""),"")</f>
        <v/>
      </c>
      <c r="G76" s="50">
        <f>IF(J76="LINE ITEM",IFERROR(INDEX(Builder[Amount (auto)],I76),""),"")</f>
        <v/>
      </c>
      <c r="I76">
        <f>ROW()-23</f>
        <v/>
      </c>
      <c r="J76">
        <f>INDEX(Builder[Row Type],I76)</f>
        <v/>
      </c>
    </row>
    <row r="77" ht="27.75" customHeight="1" s="63">
      <c r="B77" s="47">
        <f>IF(J77="LINE ITEM",IFERROR(INDEX(Builder[Qty],I77),""),"")</f>
        <v/>
      </c>
      <c r="C77" s="48">
        <f>IF(J77="SECTION HEADER",INDEX(Builder[Section Text (auto)],I77),IF(J77="LINE ITEM","x "&amp;T(INDEX(Builder[Final Description (auto)],I77)),""))</f>
        <v/>
      </c>
      <c r="D77" s="49">
        <f>IF(J77="LINE ITEM",IF(T(INDEX(Builder[Officer Type],I77))&lt;&gt;"","",T(INDEX(Builder[Notes / Posting Location],I77))),"")</f>
        <v/>
      </c>
      <c r="E77" s="50">
        <f>IF(J77="LINE ITEM",IFERROR(INDEX(Builder[Final Unit Price (auto)],I77),""),"")</f>
        <v/>
      </c>
      <c r="F77" s="47">
        <f>IF(J77="LINE ITEM",IFERROR(INDEX(Builder[Shifts / Units],I77),""),"")</f>
        <v/>
      </c>
      <c r="G77" s="50">
        <f>IF(J77="LINE ITEM",IFERROR(INDEX(Builder[Amount (auto)],I77),""),"")</f>
        <v/>
      </c>
      <c r="I77">
        <f>ROW()-23</f>
        <v/>
      </c>
      <c r="J77">
        <f>INDEX(Builder[Row Type],I77)</f>
        <v/>
      </c>
    </row>
    <row r="78" ht="27.75" customHeight="1" s="63">
      <c r="B78" s="47">
        <f>IF(J78="LINE ITEM",IFERROR(INDEX(Builder[Qty],I78),""),"")</f>
        <v/>
      </c>
      <c r="C78" s="48">
        <f>IF(J78="SECTION HEADER",INDEX(Builder[Section Text (auto)],I78),IF(J78="LINE ITEM","x "&amp;T(INDEX(Builder[Final Description (auto)],I78)),""))</f>
        <v/>
      </c>
      <c r="D78" s="49">
        <f>IF(J78="LINE ITEM",IF(T(INDEX(Builder[Officer Type],I78))&lt;&gt;"","",T(INDEX(Builder[Notes / Posting Location],I78))),"")</f>
        <v/>
      </c>
      <c r="E78" s="50">
        <f>IF(J78="LINE ITEM",IFERROR(INDEX(Builder[Final Unit Price (auto)],I78),""),"")</f>
        <v/>
      </c>
      <c r="F78" s="47">
        <f>IF(J78="LINE ITEM",IFERROR(INDEX(Builder[Shifts / Units],I78),""),"")</f>
        <v/>
      </c>
      <c r="G78" s="50">
        <f>IF(J78="LINE ITEM",IFERROR(INDEX(Builder[Amount (auto)],I78),""),"")</f>
        <v/>
      </c>
      <c r="I78">
        <f>ROW()-23</f>
        <v/>
      </c>
      <c r="J78">
        <f>INDEX(Builder[Row Type],I78)</f>
        <v/>
      </c>
    </row>
    <row r="79" hidden="1" ht="27.75" customHeight="1" s="63">
      <c r="B79" s="47">
        <f>IF(J79="LINE ITEM",IFERROR(INDEX(Builder[Qty],I79),""),"")</f>
        <v/>
      </c>
      <c r="C79" s="48">
        <f>IF(J79="SECTION HEADER",INDEX(Builder[Section Text (auto)],I79),IF(J79="LINE ITEM","x "&amp;T(INDEX(Builder[Final Description (auto)],I79)),""))</f>
        <v/>
      </c>
      <c r="D79" s="49">
        <f>IF(J79="LINE ITEM",IF(T(INDEX(Builder[Officer Type],I79))&lt;&gt;"","",T(INDEX(Builder[Notes / Posting Location],I79))),"")</f>
        <v/>
      </c>
      <c r="E79" s="50">
        <f>IF(J79="LINE ITEM",IFERROR(INDEX(Builder[Final Unit Price (auto)],I79),""),"")</f>
        <v/>
      </c>
      <c r="F79" s="47">
        <f>IF(J79="LINE ITEM",IFERROR(INDEX(Builder[Shifts / Units],I79),""),"")</f>
        <v/>
      </c>
      <c r="G79" s="50">
        <f>IF(J79="LINE ITEM",IFERROR(INDEX(Builder[Amount (auto)],I79),""),"")</f>
        <v/>
      </c>
      <c r="I79">
        <f>ROW()-23</f>
        <v/>
      </c>
      <c r="J79">
        <f>INDEX(Builder[Row Type],I79)</f>
        <v/>
      </c>
    </row>
    <row r="80" hidden="1" ht="27.75" customHeight="1" s="63">
      <c r="B80" s="47">
        <f>IF(J80="LINE ITEM",IFERROR(INDEX(Builder[Qty],I80),""),"")</f>
        <v/>
      </c>
      <c r="C80" s="48">
        <f>IF(J80="SECTION HEADER",INDEX(Builder[Section Text (auto)],I80),IF(J80="LINE ITEM","x "&amp;T(INDEX(Builder[Final Description (auto)],I80)),""))</f>
        <v/>
      </c>
      <c r="D80" s="49">
        <f>IF(J80="LINE ITEM",IF(T(INDEX(Builder[Officer Type],I80))&lt;&gt;"","",T(INDEX(Builder[Notes / Posting Location],I80))),"")</f>
        <v/>
      </c>
      <c r="E80" s="50">
        <f>IF(J80="LINE ITEM",IFERROR(INDEX(Builder[Final Unit Price (auto)],I80),""),"")</f>
        <v/>
      </c>
      <c r="F80" s="47">
        <f>IF(J80="LINE ITEM",IFERROR(INDEX(Builder[Shifts / Units],I80),""),"")</f>
        <v/>
      </c>
      <c r="G80" s="50">
        <f>IF(J80="LINE ITEM",IFERROR(INDEX(Builder[Amount (auto)],I80),""),"")</f>
        <v/>
      </c>
      <c r="I80">
        <f>ROW()-23</f>
        <v/>
      </c>
      <c r="J80">
        <f>INDEX(Builder[Row Type],I80)</f>
        <v/>
      </c>
    </row>
    <row r="81" hidden="1" ht="27.75" customHeight="1" s="63">
      <c r="B81" s="47">
        <f>IF(J81="LINE ITEM",IFERROR(INDEX(Builder[Qty],I81),""),"")</f>
        <v/>
      </c>
      <c r="C81" s="48">
        <f>IF(J81="SECTION HEADER",INDEX(Builder[Section Text (auto)],I81),IF(J81="LINE ITEM","x "&amp;T(INDEX(Builder[Final Description (auto)],I81)),""))</f>
        <v/>
      </c>
      <c r="D81" s="49">
        <f>IF(J81="LINE ITEM",IF(T(INDEX(Builder[Officer Type],I81))&lt;&gt;"","",T(INDEX(Builder[Notes / Posting Location],I81))),"")</f>
        <v/>
      </c>
      <c r="E81" s="50">
        <f>IF(J81="LINE ITEM",IFERROR(INDEX(Builder[Final Unit Price (auto)],I81),""),"")</f>
        <v/>
      </c>
      <c r="F81" s="47">
        <f>IF(J81="LINE ITEM",IFERROR(INDEX(Builder[Shifts / Units],I81),""),"")</f>
        <v/>
      </c>
      <c r="G81" s="50">
        <f>IF(J81="LINE ITEM",IFERROR(INDEX(Builder[Amount (auto)],I81),""),"")</f>
        <v/>
      </c>
      <c r="I81">
        <f>ROW()-23</f>
        <v/>
      </c>
      <c r="J81">
        <f>INDEX(Builder[Row Type],I81)</f>
        <v/>
      </c>
    </row>
    <row r="82" hidden="1" ht="27.75" customHeight="1" s="63">
      <c r="B82" s="47">
        <f>IF(J82="LINE ITEM",IFERROR(INDEX(Builder[Qty],I82),""),"")</f>
        <v/>
      </c>
      <c r="C82" s="48">
        <f>IF(J82="SECTION HEADER",INDEX(Builder[Section Text (auto)],I82),IF(J82="LINE ITEM","x "&amp;T(INDEX(Builder[Final Description (auto)],I82)),""))</f>
        <v/>
      </c>
      <c r="D82" s="49">
        <f>IF(J82="LINE ITEM",IF(T(INDEX(Builder[Officer Type],I82))&lt;&gt;"","",T(INDEX(Builder[Notes / Posting Location],I82))),"")</f>
        <v/>
      </c>
      <c r="E82" s="50">
        <f>IF(J82="LINE ITEM",IFERROR(INDEX(Builder[Final Unit Price (auto)],I82),""),"")</f>
        <v/>
      </c>
      <c r="F82" s="47">
        <f>IF(J82="LINE ITEM",IFERROR(INDEX(Builder[Shifts / Units],I82),""),"")</f>
        <v/>
      </c>
      <c r="G82" s="50">
        <f>IF(J82="LINE ITEM",IFERROR(INDEX(Builder[Amount (auto)],I82),""),"")</f>
        <v/>
      </c>
      <c r="I82">
        <f>ROW()-23</f>
        <v/>
      </c>
      <c r="J82">
        <f>INDEX(Builder[Row Type],I82)</f>
        <v/>
      </c>
    </row>
    <row r="83" hidden="1" ht="27.75" customHeight="1" s="63">
      <c r="B83" s="47">
        <f>IF(J83="LINE ITEM",IFERROR(INDEX(Builder[Qty],I83),""),"")</f>
        <v/>
      </c>
      <c r="C83" s="48">
        <f>IF(J83="SECTION HEADER",INDEX(Builder[Section Text (auto)],I83),IF(J83="LINE ITEM","x "&amp;T(INDEX(Builder[Final Description (auto)],I83)),""))</f>
        <v/>
      </c>
      <c r="D83" s="49">
        <f>IF(J83="LINE ITEM",IF(T(INDEX(Builder[Officer Type],I83))&lt;&gt;"","",T(INDEX(Builder[Notes / Posting Location],I83))),"")</f>
        <v/>
      </c>
      <c r="E83" s="50">
        <f>IF(J83="LINE ITEM",IFERROR(INDEX(Builder[Final Unit Price (auto)],I83),""),"")</f>
        <v/>
      </c>
      <c r="F83" s="47">
        <f>IF(J83="LINE ITEM",IFERROR(INDEX(Builder[Shifts / Units],I83),""),"")</f>
        <v/>
      </c>
      <c r="G83" s="50">
        <f>IF(J83="LINE ITEM",IFERROR(INDEX(Builder[Amount (auto)],I83),""),"")</f>
        <v/>
      </c>
      <c r="I83">
        <f>ROW()-23</f>
        <v/>
      </c>
      <c r="J83">
        <f>INDEX(Builder[Row Type],I83)</f>
        <v/>
      </c>
    </row>
    <row r="84" hidden="1" ht="27.75" customHeight="1" s="63">
      <c r="B84" s="47">
        <f>IF(J84="LINE ITEM",IFERROR(INDEX(Builder[Qty],I84),""),"")</f>
        <v/>
      </c>
      <c r="C84" s="48">
        <f>IF(J84="SECTION HEADER",INDEX(Builder[Section Text (auto)],I84),IF(J84="LINE ITEM","x "&amp;T(INDEX(Builder[Final Description (auto)],I84)),""))</f>
        <v/>
      </c>
      <c r="D84" s="49">
        <f>IF(J84="LINE ITEM",IF(T(INDEX(Builder[Officer Type],I84))&lt;&gt;"","",T(INDEX(Builder[Notes / Posting Location],I84))),"")</f>
        <v/>
      </c>
      <c r="E84" s="50">
        <f>IF(J84="LINE ITEM",IFERROR(INDEX(Builder[Final Unit Price (auto)],I84),""),"")</f>
        <v/>
      </c>
      <c r="F84" s="47">
        <f>IF(J84="LINE ITEM",IFERROR(INDEX(Builder[Shifts / Units],I84),""),"")</f>
        <v/>
      </c>
      <c r="G84" s="50">
        <f>IF(J84="LINE ITEM",IFERROR(INDEX(Builder[Amount (auto)],I84),""),"")</f>
        <v/>
      </c>
      <c r="I84">
        <f>ROW()-23</f>
        <v/>
      </c>
      <c r="J84">
        <f>INDEX(Builder[Row Type],I84)</f>
        <v/>
      </c>
    </row>
    <row r="85" hidden="1" ht="27.75" customHeight="1" s="63">
      <c r="B85" s="47">
        <f>IF(J85="LINE ITEM",IFERROR(INDEX(Builder[Qty],I85),""),"")</f>
        <v/>
      </c>
      <c r="C85" s="48">
        <f>IF(J85="SECTION HEADER",INDEX(Builder[Section Text (auto)],I85),IF(J85="LINE ITEM","x "&amp;T(INDEX(Builder[Final Description (auto)],I85)),""))</f>
        <v/>
      </c>
      <c r="D85" s="49">
        <f>IF(J85="LINE ITEM",IF(T(INDEX(Builder[Officer Type],I85))&lt;&gt;"","",T(INDEX(Builder[Notes / Posting Location],I85))),"")</f>
        <v/>
      </c>
      <c r="E85" s="50">
        <f>IF(J85="LINE ITEM",IFERROR(INDEX(Builder[Final Unit Price (auto)],I85),""),"")</f>
        <v/>
      </c>
      <c r="F85" s="47">
        <f>IF(J85="LINE ITEM",IFERROR(INDEX(Builder[Shifts / Units],I85),""),"")</f>
        <v/>
      </c>
      <c r="G85" s="50">
        <f>IF(J85="LINE ITEM",IFERROR(INDEX(Builder[Amount (auto)],I85),""),"")</f>
        <v/>
      </c>
      <c r="I85">
        <f>ROW()-23</f>
        <v/>
      </c>
      <c r="J85">
        <f>INDEX(Builder[Row Type],I85)</f>
        <v/>
      </c>
    </row>
    <row r="86" hidden="1" ht="27.75" customHeight="1" s="63">
      <c r="B86" s="47">
        <f>IF(J86="LINE ITEM",IFERROR(INDEX(Builder[Qty],I86),""),"")</f>
        <v/>
      </c>
      <c r="C86" s="48">
        <f>IF(J86="SECTION HEADER",INDEX(Builder[Section Text (auto)],I86),IF(J86="LINE ITEM","x "&amp;T(INDEX(Builder[Final Description (auto)],I86)),""))</f>
        <v/>
      </c>
      <c r="D86" s="49">
        <f>IF(J86="LINE ITEM",IF(T(INDEX(Builder[Officer Type],I86))&lt;&gt;"","",T(INDEX(Builder[Notes / Posting Location],I86))),"")</f>
        <v/>
      </c>
      <c r="E86" s="50">
        <f>IF(J86="LINE ITEM",IFERROR(INDEX(Builder[Final Unit Price (auto)],I86),""),"")</f>
        <v/>
      </c>
      <c r="F86" s="47">
        <f>IF(J86="LINE ITEM",IFERROR(INDEX(Builder[Shifts / Units],I86),""),"")</f>
        <v/>
      </c>
      <c r="G86" s="50">
        <f>IF(J86="LINE ITEM",IFERROR(INDEX(Builder[Amount (auto)],I86),""),"")</f>
        <v/>
      </c>
      <c r="I86">
        <f>ROW()-23</f>
        <v/>
      </c>
      <c r="J86">
        <f>INDEX(Builder[Row Type],I86)</f>
        <v/>
      </c>
    </row>
    <row r="87" hidden="1" ht="27.75" customHeight="1" s="63">
      <c r="B87" s="47">
        <f>IF(J87="LINE ITEM",IFERROR(INDEX(Builder[Qty],I87),""),"")</f>
        <v/>
      </c>
      <c r="C87" s="48">
        <f>IF(J87="SECTION HEADER",INDEX(Builder[Section Text (auto)],I87),IF(J87="LINE ITEM","x "&amp;T(INDEX(Builder[Final Description (auto)],I87)),""))</f>
        <v/>
      </c>
      <c r="D87" s="49">
        <f>IF(J87="LINE ITEM",IF(T(INDEX(Builder[Officer Type],I87))&lt;&gt;"","",T(INDEX(Builder[Notes / Posting Location],I87))),"")</f>
        <v/>
      </c>
      <c r="E87" s="50">
        <f>IF(J87="LINE ITEM",IFERROR(INDEX(Builder[Final Unit Price (auto)],I87),""),"")</f>
        <v/>
      </c>
      <c r="F87" s="47">
        <f>IF(J87="LINE ITEM",IFERROR(INDEX(Builder[Shifts / Units],I87),""),"")</f>
        <v/>
      </c>
      <c r="G87" s="50">
        <f>IF(J87="LINE ITEM",IFERROR(INDEX(Builder[Amount (auto)],I87),""),"")</f>
        <v/>
      </c>
      <c r="I87">
        <f>ROW()-23</f>
        <v/>
      </c>
      <c r="J87">
        <f>INDEX(Builder[Row Type],I87)</f>
        <v/>
      </c>
    </row>
    <row r="88" hidden="1" ht="27.75" customHeight="1" s="63">
      <c r="B88" s="47">
        <f>IF(J88="LINE ITEM",IFERROR(INDEX(Builder[Qty],I88),""),"")</f>
        <v/>
      </c>
      <c r="C88" s="48">
        <f>IF(J88="SECTION HEADER",INDEX(Builder[Section Text (auto)],I88),IF(J88="LINE ITEM","x "&amp;T(INDEX(Builder[Final Description (auto)],I88)),""))</f>
        <v/>
      </c>
      <c r="D88" s="49">
        <f>IF(J88="LINE ITEM",IF(T(INDEX(Builder[Officer Type],I88))&lt;&gt;"","",T(INDEX(Builder[Notes / Posting Location],I88))),"")</f>
        <v/>
      </c>
      <c r="E88" s="50">
        <f>IF(J88="LINE ITEM",IFERROR(INDEX(Builder[Final Unit Price (auto)],I88),""),"")</f>
        <v/>
      </c>
      <c r="F88" s="47">
        <f>IF(J88="LINE ITEM",IFERROR(INDEX(Builder[Shifts / Units],I88),""),"")</f>
        <v/>
      </c>
      <c r="G88" s="50">
        <f>IF(J88="LINE ITEM",IFERROR(INDEX(Builder[Amount (auto)],I88),""),"")</f>
        <v/>
      </c>
      <c r="I88">
        <f>ROW()-23</f>
        <v/>
      </c>
      <c r="J88">
        <f>INDEX(Builder[Row Type],I88)</f>
        <v/>
      </c>
    </row>
    <row r="89" hidden="1" ht="27.75" customHeight="1" s="63">
      <c r="B89" s="47">
        <f>IF(J89="LINE ITEM",IFERROR(INDEX(Builder[Qty],I89),""),"")</f>
        <v/>
      </c>
      <c r="C89" s="48">
        <f>IF(J89="SECTION HEADER",INDEX(Builder[Section Text (auto)],I89),IF(J89="LINE ITEM","x "&amp;T(INDEX(Builder[Final Description (auto)],I89)),""))</f>
        <v/>
      </c>
      <c r="D89" s="49">
        <f>IF(J89="LINE ITEM",IF(T(INDEX(Builder[Officer Type],I89))&lt;&gt;"","",T(INDEX(Builder[Notes / Posting Location],I89))),"")</f>
        <v/>
      </c>
      <c r="E89" s="50">
        <f>IF(J89="LINE ITEM",IFERROR(INDEX(Builder[Final Unit Price (auto)],I89),""),"")</f>
        <v/>
      </c>
      <c r="F89" s="47">
        <f>IF(J89="LINE ITEM",IFERROR(INDEX(Builder[Shifts / Units],I89),""),"")</f>
        <v/>
      </c>
      <c r="G89" s="50">
        <f>IF(J89="LINE ITEM",IFERROR(INDEX(Builder[Amount (auto)],I89),""),"")</f>
        <v/>
      </c>
      <c r="I89">
        <f>ROW()-23</f>
        <v/>
      </c>
      <c r="J89">
        <f>INDEX(Builder[Row Type],I89)</f>
        <v/>
      </c>
    </row>
    <row r="90" hidden="1" ht="27.75" customHeight="1" s="63">
      <c r="B90" s="47">
        <f>IF(J90="LINE ITEM",IFERROR(INDEX(Builder[Qty],I90),""),"")</f>
        <v/>
      </c>
      <c r="C90" s="48">
        <f>IF(J90="SECTION HEADER",INDEX(Builder[Section Text (auto)],I90),IF(J90="LINE ITEM","x "&amp;T(INDEX(Builder[Final Description (auto)],I90)),""))</f>
        <v/>
      </c>
      <c r="D90" s="49">
        <f>IF(J90="LINE ITEM",IF(T(INDEX(Builder[Officer Type],I90))&lt;&gt;"","",T(INDEX(Builder[Notes / Posting Location],I90))),"")</f>
        <v/>
      </c>
      <c r="E90" s="50">
        <f>IF(J90="LINE ITEM",IFERROR(INDEX(Builder[Final Unit Price (auto)],I90),""),"")</f>
        <v/>
      </c>
      <c r="F90" s="47">
        <f>IF(J90="LINE ITEM",IFERROR(INDEX(Builder[Shifts / Units],I90),""),"")</f>
        <v/>
      </c>
      <c r="G90" s="50">
        <f>IF(J90="LINE ITEM",IFERROR(INDEX(Builder[Amount (auto)],I90),""),"")</f>
        <v/>
      </c>
      <c r="I90">
        <f>ROW()-23</f>
        <v/>
      </c>
      <c r="J90">
        <f>INDEX(Builder[Row Type],I90)</f>
        <v/>
      </c>
    </row>
    <row r="91" hidden="1" ht="27.75" customHeight="1" s="63">
      <c r="B91" s="47">
        <f>IF(J91="LINE ITEM",IFERROR(INDEX(Builder[Qty],I91),""),"")</f>
        <v/>
      </c>
      <c r="C91" s="48">
        <f>IF(J91="SECTION HEADER",INDEX(Builder[Section Text (auto)],I91),IF(J91="LINE ITEM","x "&amp;T(INDEX(Builder[Final Description (auto)],I91)),""))</f>
        <v/>
      </c>
      <c r="D91" s="49">
        <f>IF(J91="LINE ITEM",IF(T(INDEX(Builder[Officer Type],I91))&lt;&gt;"","",T(INDEX(Builder[Notes / Posting Location],I91))),"")</f>
        <v/>
      </c>
      <c r="E91" s="50">
        <f>IF(J91="LINE ITEM",IFERROR(INDEX(Builder[Final Unit Price (auto)],I91),""),"")</f>
        <v/>
      </c>
      <c r="F91" s="47">
        <f>IF(J91="LINE ITEM",IFERROR(INDEX(Builder[Shifts / Units],I91),""),"")</f>
        <v/>
      </c>
      <c r="G91" s="50">
        <f>IF(J91="LINE ITEM",IFERROR(INDEX(Builder[Amount (auto)],I91),""),"")</f>
        <v/>
      </c>
      <c r="I91">
        <f>ROW()-23</f>
        <v/>
      </c>
      <c r="J91">
        <f>INDEX(Builder[Row Type],I91)</f>
        <v/>
      </c>
    </row>
    <row r="92" hidden="1" ht="27.75" customHeight="1" s="63">
      <c r="B92" s="47">
        <f>IF(J92="LINE ITEM",IFERROR(INDEX(Builder[Qty],I92),""),"")</f>
        <v/>
      </c>
      <c r="C92" s="48">
        <f>IF(J92="SECTION HEADER",INDEX(Builder[Section Text (auto)],I92),IF(J92="LINE ITEM","x "&amp;T(INDEX(Builder[Final Description (auto)],I92)),""))</f>
        <v/>
      </c>
      <c r="D92" s="49">
        <f>IF(J92="LINE ITEM",IF(T(INDEX(Builder[Officer Type],I92))&lt;&gt;"","",T(INDEX(Builder[Notes / Posting Location],I92))),"")</f>
        <v/>
      </c>
      <c r="E92" s="50">
        <f>IF(J92="LINE ITEM",IFERROR(INDEX(Builder[Final Unit Price (auto)],I92),""),"")</f>
        <v/>
      </c>
      <c r="F92" s="47">
        <f>IF(J92="LINE ITEM",IFERROR(INDEX(Builder[Shifts / Units],I92),""),"")</f>
        <v/>
      </c>
      <c r="G92" s="50">
        <f>IF(J92="LINE ITEM",IFERROR(INDEX(Builder[Amount (auto)],I92),""),"")</f>
        <v/>
      </c>
      <c r="I92">
        <f>ROW()-23</f>
        <v/>
      </c>
      <c r="J92">
        <f>INDEX(Builder[Row Type],I92)</f>
        <v/>
      </c>
    </row>
    <row r="93" hidden="1" ht="27.75" customHeight="1" s="63">
      <c r="B93" s="47">
        <f>IF(J93="LINE ITEM",IFERROR(INDEX(Builder[Qty],I93),""),"")</f>
        <v/>
      </c>
      <c r="C93" s="48">
        <f>IF(J93="SECTION HEADER",INDEX(Builder[Section Text (auto)],I93),IF(J93="LINE ITEM","x "&amp;T(INDEX(Builder[Final Description (auto)],I93)),""))</f>
        <v/>
      </c>
      <c r="D93" s="49">
        <f>IF(J93="LINE ITEM",IF(T(INDEX(Builder[Officer Type],I93))&lt;&gt;"","",T(INDEX(Builder[Notes / Posting Location],I93))),"")</f>
        <v/>
      </c>
      <c r="E93" s="50">
        <f>IF(J93="LINE ITEM",IFERROR(INDEX(Builder[Final Unit Price (auto)],I93),""),"")</f>
        <v/>
      </c>
      <c r="F93" s="47">
        <f>IF(J93="LINE ITEM",IFERROR(INDEX(Builder[Shifts / Units],I93),""),"")</f>
        <v/>
      </c>
      <c r="G93" s="50">
        <f>IF(J93="LINE ITEM",IFERROR(INDEX(Builder[Amount (auto)],I93),""),"")</f>
        <v/>
      </c>
      <c r="I93">
        <f>ROW()-23</f>
        <v/>
      </c>
      <c r="J93">
        <f>INDEX(Builder[Row Type],I93)</f>
        <v/>
      </c>
    </row>
    <row r="94" hidden="1" ht="27.75" customHeight="1" s="63">
      <c r="B94" s="47">
        <f>IF(J94="LINE ITEM",IFERROR(INDEX(Builder[Qty],I94),""),"")</f>
        <v/>
      </c>
      <c r="C94" s="48">
        <f>IF(J94="SECTION HEADER",INDEX(Builder[Section Text (auto)],I94),IF(J94="LINE ITEM","x "&amp;T(INDEX(Builder[Final Description (auto)],I94)),""))</f>
        <v/>
      </c>
      <c r="D94" s="49">
        <f>IF(J94="LINE ITEM",IF(T(INDEX(Builder[Officer Type],I94))&lt;&gt;"","",T(INDEX(Builder[Notes / Posting Location],I94))),"")</f>
        <v/>
      </c>
      <c r="E94" s="50">
        <f>IF(J94="LINE ITEM",IFERROR(INDEX(Builder[Final Unit Price (auto)],I94),""),"")</f>
        <v/>
      </c>
      <c r="F94" s="47">
        <f>IF(J94="LINE ITEM",IFERROR(INDEX(Builder[Shifts / Units],I94),""),"")</f>
        <v/>
      </c>
      <c r="G94" s="50">
        <f>IF(J94="LINE ITEM",IFERROR(INDEX(Builder[Amount (auto)],I94),""),"")</f>
        <v/>
      </c>
      <c r="I94">
        <f>ROW()-23</f>
        <v/>
      </c>
      <c r="J94">
        <f>INDEX(Builder[Row Type],I94)</f>
        <v/>
      </c>
    </row>
    <row r="95" hidden="1" ht="27.75" customHeight="1" s="63">
      <c r="B95" s="47">
        <f>IF(J95="LINE ITEM",IFERROR(INDEX(Builder[Qty],I95),""),"")</f>
        <v/>
      </c>
      <c r="C95" s="48">
        <f>IF(J95="SECTION HEADER",INDEX(Builder[Section Text (auto)],I95),IF(J95="LINE ITEM","x "&amp;T(INDEX(Builder[Final Description (auto)],I95)),""))</f>
        <v/>
      </c>
      <c r="D95" s="49">
        <f>IF(J95="LINE ITEM",IF(T(INDEX(Builder[Officer Type],I95))&lt;&gt;"","",T(INDEX(Builder[Notes / Posting Location],I95))),"")</f>
        <v/>
      </c>
      <c r="E95" s="50">
        <f>IF(J95="LINE ITEM",IFERROR(INDEX(Builder[Final Unit Price (auto)],I95),""),"")</f>
        <v/>
      </c>
      <c r="F95" s="47">
        <f>IF(J95="LINE ITEM",IFERROR(INDEX(Builder[Shifts / Units],I95),""),"")</f>
        <v/>
      </c>
      <c r="G95" s="50">
        <f>IF(J95="LINE ITEM",IFERROR(INDEX(Builder[Amount (auto)],I95),""),"")</f>
        <v/>
      </c>
      <c r="I95">
        <f>ROW()-23</f>
        <v/>
      </c>
      <c r="J95">
        <f>INDEX(Builder[Row Type],I95)</f>
        <v/>
      </c>
    </row>
    <row r="96" hidden="1" ht="27.75" customHeight="1" s="63">
      <c r="B96" s="47">
        <f>IF(J96="LINE ITEM",IFERROR(INDEX(Builder[Qty],I96),""),"")</f>
        <v/>
      </c>
      <c r="C96" s="48">
        <f>IF(J96="SECTION HEADER",INDEX(Builder[Section Text (auto)],I96),IF(J96="LINE ITEM","x "&amp;T(INDEX(Builder[Final Description (auto)],I96)),""))</f>
        <v/>
      </c>
      <c r="D96" s="49">
        <f>IF(J96="LINE ITEM",IF(T(INDEX(Builder[Officer Type],I96))&lt;&gt;"","",T(INDEX(Builder[Notes / Posting Location],I96))),"")</f>
        <v/>
      </c>
      <c r="E96" s="50">
        <f>IF(J96="LINE ITEM",IFERROR(INDEX(Builder[Final Unit Price (auto)],I96),""),"")</f>
        <v/>
      </c>
      <c r="F96" s="47">
        <f>IF(J96="LINE ITEM",IFERROR(INDEX(Builder[Shifts / Units],I96),""),"")</f>
        <v/>
      </c>
      <c r="G96" s="50">
        <f>IF(J96="LINE ITEM",IFERROR(INDEX(Builder[Amount (auto)],I96),""),"")</f>
        <v/>
      </c>
      <c r="I96">
        <f>ROW()-23</f>
        <v/>
      </c>
      <c r="J96">
        <f>INDEX(Builder[Row Type],I96)</f>
        <v/>
      </c>
    </row>
    <row r="97" hidden="1" ht="27.75" customHeight="1" s="63">
      <c r="B97" s="47">
        <f>IF(J97="LINE ITEM",IFERROR(INDEX(Builder[Qty],I97),""),"")</f>
        <v/>
      </c>
      <c r="C97" s="48">
        <f>IF(J97="SECTION HEADER",INDEX(Builder[Section Text (auto)],I97),IF(J97="LINE ITEM","x "&amp;T(INDEX(Builder[Final Description (auto)],I97)),""))</f>
        <v/>
      </c>
      <c r="D97" s="49">
        <f>IF(J97="LINE ITEM",IF(T(INDEX(Builder[Officer Type],I97))&lt;&gt;"","",T(INDEX(Builder[Notes / Posting Location],I97))),"")</f>
        <v/>
      </c>
      <c r="E97" s="50">
        <f>IF(J97="LINE ITEM",IFERROR(INDEX(Builder[Final Unit Price (auto)],I97),""),"")</f>
        <v/>
      </c>
      <c r="F97" s="47">
        <f>IF(J97="LINE ITEM",IFERROR(INDEX(Builder[Shifts / Units],I97),""),"")</f>
        <v/>
      </c>
      <c r="G97" s="50">
        <f>IF(J97="LINE ITEM",IFERROR(INDEX(Builder[Amount (auto)],I97),""),"")</f>
        <v/>
      </c>
      <c r="I97">
        <f>ROW()-23</f>
        <v/>
      </c>
      <c r="J97">
        <f>INDEX(Builder[Row Type],I97)</f>
        <v/>
      </c>
    </row>
    <row r="98" hidden="1" ht="27.75" customHeight="1" s="63">
      <c r="B98" s="47">
        <f>IF(J98="LINE ITEM",IFERROR(INDEX(Builder[Qty],I98),""),"")</f>
        <v/>
      </c>
      <c r="C98" s="48">
        <f>IF(J98="SECTION HEADER",INDEX(Builder[Section Text (auto)],I98),IF(J98="LINE ITEM","x "&amp;T(INDEX(Builder[Final Description (auto)],I98)),""))</f>
        <v/>
      </c>
      <c r="D98" s="49">
        <f>IF(J98="LINE ITEM",IF(T(INDEX(Builder[Officer Type],I98))&lt;&gt;"","",T(INDEX(Builder[Notes / Posting Location],I98))),"")</f>
        <v/>
      </c>
      <c r="E98" s="50">
        <f>IF(J98="LINE ITEM",IFERROR(INDEX(Builder[Final Unit Price (auto)],I98),""),"")</f>
        <v/>
      </c>
      <c r="F98" s="47">
        <f>IF(J98="LINE ITEM",IFERROR(INDEX(Builder[Shifts / Units],I98),""),"")</f>
        <v/>
      </c>
      <c r="G98" s="50">
        <f>IF(J98="LINE ITEM",IFERROR(INDEX(Builder[Amount (auto)],I98),""),"")</f>
        <v/>
      </c>
      <c r="I98">
        <f>ROW()-23</f>
        <v/>
      </c>
      <c r="J98">
        <f>INDEX(Builder[Row Type],I98)</f>
        <v/>
      </c>
    </row>
    <row r="99" hidden="1" ht="27.75" customHeight="1" s="63">
      <c r="B99" s="47">
        <f>IF(J99="LINE ITEM",IFERROR(INDEX(Builder[Qty],I99),""),"")</f>
        <v/>
      </c>
      <c r="C99" s="48">
        <f>IF(J99="SECTION HEADER",INDEX(Builder[Section Text (auto)],I99),IF(J99="LINE ITEM","x "&amp;T(INDEX(Builder[Final Description (auto)],I99)),""))</f>
        <v/>
      </c>
      <c r="D99" s="49">
        <f>IF(J99="LINE ITEM",IF(T(INDEX(Builder[Officer Type],I99))&lt;&gt;"","",T(INDEX(Builder[Notes / Posting Location],I99))),"")</f>
        <v/>
      </c>
      <c r="E99" s="50">
        <f>IF(J99="LINE ITEM",IFERROR(INDEX(Builder[Final Unit Price (auto)],I99),""),"")</f>
        <v/>
      </c>
      <c r="F99" s="47">
        <f>IF(J99="LINE ITEM",IFERROR(INDEX(Builder[Shifts / Units],I99),""),"")</f>
        <v/>
      </c>
      <c r="G99" s="50">
        <f>IF(J99="LINE ITEM",IFERROR(INDEX(Builder[Amount (auto)],I99),""),"")</f>
        <v/>
      </c>
      <c r="I99">
        <f>ROW()-23</f>
        <v/>
      </c>
      <c r="J99">
        <f>INDEX(Builder[Row Type],I99)</f>
        <v/>
      </c>
    </row>
    <row r="100" hidden="1" ht="27.75" customHeight="1" s="63">
      <c r="B100" s="47">
        <f>IF(J100="LINE ITEM",IFERROR(INDEX(Builder[Qty],I100),""),"")</f>
        <v/>
      </c>
      <c r="C100" s="48">
        <f>IF(J100="SECTION HEADER",INDEX(Builder[Section Text (auto)],I100),IF(J100="LINE ITEM","x "&amp;T(INDEX(Builder[Final Description (auto)],I100)),""))</f>
        <v/>
      </c>
      <c r="D100" s="49">
        <f>IF(J100="LINE ITEM",IF(T(INDEX(Builder[Officer Type],I100))&lt;&gt;"","",T(INDEX(Builder[Notes / Posting Location],I100))),"")</f>
        <v/>
      </c>
      <c r="E100" s="50">
        <f>IF(J100="LINE ITEM",IFERROR(INDEX(Builder[Final Unit Price (auto)],I100),""),"")</f>
        <v/>
      </c>
      <c r="F100" s="47">
        <f>IF(J100="LINE ITEM",IFERROR(INDEX(Builder[Shifts / Units],I100),""),"")</f>
        <v/>
      </c>
      <c r="G100" s="50">
        <f>IF(J100="LINE ITEM",IFERROR(INDEX(Builder[Amount (auto)],I100),""),"")</f>
        <v/>
      </c>
      <c r="I100">
        <f>ROW()-23</f>
        <v/>
      </c>
      <c r="J100">
        <f>INDEX(Builder[Row Type],I100)</f>
        <v/>
      </c>
    </row>
    <row r="101" hidden="1" ht="27.75" customHeight="1" s="63">
      <c r="B101" s="47">
        <f>IF(J101="LINE ITEM",IFERROR(INDEX(Builder[Qty],I101),""),"")</f>
        <v/>
      </c>
      <c r="C101" s="48">
        <f>IF(J101="SECTION HEADER",INDEX(Builder[Section Text (auto)],I101),IF(J101="LINE ITEM","x "&amp;T(INDEX(Builder[Final Description (auto)],I101)),""))</f>
        <v/>
      </c>
      <c r="D101" s="49">
        <f>IF(J101="LINE ITEM",IF(T(INDEX(Builder[Officer Type],I101))&lt;&gt;"","",T(INDEX(Builder[Notes / Posting Location],I101))),"")</f>
        <v/>
      </c>
      <c r="E101" s="50">
        <f>IF(J101="LINE ITEM",IFERROR(INDEX(Builder[Final Unit Price (auto)],I101),""),"")</f>
        <v/>
      </c>
      <c r="F101" s="47">
        <f>IF(J101="LINE ITEM",IFERROR(INDEX(Builder[Shifts / Units],I101),""),"")</f>
        <v/>
      </c>
      <c r="G101" s="50">
        <f>IF(J101="LINE ITEM",IFERROR(INDEX(Builder[Amount (auto)],I101),""),"")</f>
        <v/>
      </c>
      <c r="I101">
        <f>ROW()-23</f>
        <v/>
      </c>
      <c r="J101">
        <f>INDEX(Builder[Row Type],I101)</f>
        <v/>
      </c>
    </row>
    <row r="102" hidden="1" ht="27.75" customHeight="1" s="63">
      <c r="B102" s="47">
        <f>IF(J102="LINE ITEM",IFERROR(INDEX(Builder[Qty],I102),""),"")</f>
        <v/>
      </c>
      <c r="C102" s="48">
        <f>IF(J102="SECTION HEADER",INDEX(Builder[Section Text (auto)],I102),IF(J102="LINE ITEM","x "&amp;T(INDEX(Builder[Final Description (auto)],I102)),""))</f>
        <v/>
      </c>
      <c r="D102" s="49">
        <f>IF(J102="LINE ITEM",IF(T(INDEX(Builder[Officer Type],I102))&lt;&gt;"","",T(INDEX(Builder[Notes / Posting Location],I102))),"")</f>
        <v/>
      </c>
      <c r="E102" s="50">
        <f>IF(J102="LINE ITEM",IFERROR(INDEX(Builder[Final Unit Price (auto)],I102),""),"")</f>
        <v/>
      </c>
      <c r="F102" s="47">
        <f>IF(J102="LINE ITEM",IFERROR(INDEX(Builder[Shifts / Units],I102),""),"")</f>
        <v/>
      </c>
      <c r="G102" s="50">
        <f>IF(J102="LINE ITEM",IFERROR(INDEX(Builder[Amount (auto)],I102),""),"")</f>
        <v/>
      </c>
      <c r="I102">
        <f>ROW()-23</f>
        <v/>
      </c>
      <c r="J102">
        <f>INDEX(Builder[Row Type],I102)</f>
        <v/>
      </c>
    </row>
    <row r="103" hidden="1" ht="27.75" customHeight="1" s="63">
      <c r="B103" s="47">
        <f>IF(J103="LINE ITEM",IFERROR(INDEX(Builder[Qty],I103),""),"")</f>
        <v/>
      </c>
      <c r="C103" s="48">
        <f>IF(J103="SECTION HEADER",INDEX(Builder[Section Text (auto)],I103),IF(J103="LINE ITEM","x "&amp;T(INDEX(Builder[Final Description (auto)],I103)),""))</f>
        <v/>
      </c>
      <c r="D103" s="49">
        <f>IF(J103="LINE ITEM",IF(T(INDEX(Builder[Officer Type],I103))&lt;&gt;"","",T(INDEX(Builder[Notes / Posting Location],I103))),"")</f>
        <v/>
      </c>
      <c r="E103" s="50">
        <f>IF(J103="LINE ITEM",IFERROR(INDEX(Builder[Final Unit Price (auto)],I103),""),"")</f>
        <v/>
      </c>
      <c r="F103" s="47">
        <f>IF(J103="LINE ITEM",IFERROR(INDEX(Builder[Shifts / Units],I103),""),"")</f>
        <v/>
      </c>
      <c r="G103" s="50">
        <f>IF(J103="LINE ITEM",IFERROR(INDEX(Builder[Amount (auto)],I103),""),"")</f>
        <v/>
      </c>
      <c r="I103">
        <f>ROW()-23</f>
        <v/>
      </c>
      <c r="J103">
        <f>INDEX(Builder[Row Type],I103)</f>
        <v/>
      </c>
    </row>
    <row r="104" hidden="1" ht="27.75" customHeight="1" s="63">
      <c r="B104" s="47">
        <f>IF(J104="LINE ITEM",IFERROR(INDEX(Builder[Qty],I104),""),"")</f>
        <v/>
      </c>
      <c r="C104" s="48">
        <f>IF(J104="SECTION HEADER",INDEX(Builder[Section Text (auto)],I104),IF(J104="LINE ITEM","x "&amp;T(INDEX(Builder[Final Description (auto)],I104)),""))</f>
        <v/>
      </c>
      <c r="D104" s="49">
        <f>IF(J104="LINE ITEM",IF(T(INDEX(Builder[Officer Type],I104))&lt;&gt;"","",T(INDEX(Builder[Notes / Posting Location],I104))),"")</f>
        <v/>
      </c>
      <c r="E104" s="50">
        <f>IF(J104="LINE ITEM",IFERROR(INDEX(Builder[Final Unit Price (auto)],I104),""),"")</f>
        <v/>
      </c>
      <c r="F104" s="47">
        <f>IF(J104="LINE ITEM",IFERROR(INDEX(Builder[Shifts / Units],I104),""),"")</f>
        <v/>
      </c>
      <c r="G104" s="50">
        <f>IF(J104="LINE ITEM",IFERROR(INDEX(Builder[Amount (auto)],I104),""),"")</f>
        <v/>
      </c>
      <c r="I104">
        <f>ROW()-23</f>
        <v/>
      </c>
      <c r="J104">
        <f>INDEX(Builder[Row Type],I104)</f>
        <v/>
      </c>
    </row>
    <row r="105" hidden="1" ht="27.75" customHeight="1" s="63">
      <c r="B105" s="47">
        <f>IF(J105="LINE ITEM",IFERROR(INDEX(Builder[Qty],I105),""),"")</f>
        <v/>
      </c>
      <c r="C105" s="48">
        <f>IF(J105="SECTION HEADER",INDEX(Builder[Section Text (auto)],I105),IF(J105="LINE ITEM","x "&amp;T(INDEX(Builder[Final Description (auto)],I105)),""))</f>
        <v/>
      </c>
      <c r="D105" s="49">
        <f>IF(J105="LINE ITEM",IF(T(INDEX(Builder[Officer Type],I105))&lt;&gt;"","",T(INDEX(Builder[Notes / Posting Location],I105))),"")</f>
        <v/>
      </c>
      <c r="E105" s="50">
        <f>IF(J105="LINE ITEM",IFERROR(INDEX(Builder[Final Unit Price (auto)],I105),""),"")</f>
        <v/>
      </c>
      <c r="F105" s="47">
        <f>IF(J105="LINE ITEM",IFERROR(INDEX(Builder[Shifts / Units],I105),""),"")</f>
        <v/>
      </c>
      <c r="G105" s="50">
        <f>IF(J105="LINE ITEM",IFERROR(INDEX(Builder[Amount (auto)],I105),""),"")</f>
        <v/>
      </c>
      <c r="I105">
        <f>ROW()-23</f>
        <v/>
      </c>
      <c r="J105">
        <f>INDEX(Builder[Row Type],I105)</f>
        <v/>
      </c>
    </row>
    <row r="106" hidden="1" ht="27.75" customHeight="1" s="63">
      <c r="B106" s="47">
        <f>IF(J106="LINE ITEM",IFERROR(INDEX(Builder[Qty],I106),""),"")</f>
        <v/>
      </c>
      <c r="C106" s="48">
        <f>IF(J106="SECTION HEADER",INDEX(Builder[Section Text (auto)],I106),IF(J106="LINE ITEM","x "&amp;T(INDEX(Builder[Final Description (auto)],I106)),""))</f>
        <v/>
      </c>
      <c r="D106" s="49">
        <f>IF(J106="LINE ITEM",IF(T(INDEX(Builder[Officer Type],I106))&lt;&gt;"","",T(INDEX(Builder[Notes / Posting Location],I106))),"")</f>
        <v/>
      </c>
      <c r="E106" s="50">
        <f>IF(J106="LINE ITEM",IFERROR(INDEX(Builder[Final Unit Price (auto)],I106),""),"")</f>
        <v/>
      </c>
      <c r="F106" s="47">
        <f>IF(J106="LINE ITEM",IFERROR(INDEX(Builder[Shifts / Units],I106),""),"")</f>
        <v/>
      </c>
      <c r="G106" s="50">
        <f>IF(J106="LINE ITEM",IFERROR(INDEX(Builder[Amount (auto)],I106),""),"")</f>
        <v/>
      </c>
      <c r="I106">
        <f>ROW()-23</f>
        <v/>
      </c>
      <c r="J106">
        <f>INDEX(Builder[Row Type],I106)</f>
        <v/>
      </c>
    </row>
    <row r="107" hidden="1" ht="27.75" customHeight="1" s="63">
      <c r="B107" s="47">
        <f>IF(J107="LINE ITEM",IFERROR(INDEX(Builder[Qty],I107),""),"")</f>
        <v/>
      </c>
      <c r="C107" s="48">
        <f>IF(J107="SECTION HEADER",INDEX(Builder[Section Text (auto)],I107),IF(J107="LINE ITEM","x "&amp;T(INDEX(Builder[Final Description (auto)],I107)),""))</f>
        <v/>
      </c>
      <c r="D107" s="49">
        <f>IF(J107="LINE ITEM",IF(T(INDEX(Builder[Officer Type],I107))&lt;&gt;"","",T(INDEX(Builder[Notes / Posting Location],I107))),"")</f>
        <v/>
      </c>
      <c r="E107" s="50">
        <f>IF(J107="LINE ITEM",IFERROR(INDEX(Builder[Final Unit Price (auto)],I107),""),"")</f>
        <v/>
      </c>
      <c r="F107" s="47">
        <f>IF(J107="LINE ITEM",IFERROR(INDEX(Builder[Shifts / Units],I107),""),"")</f>
        <v/>
      </c>
      <c r="G107" s="50">
        <f>IF(J107="LINE ITEM",IFERROR(INDEX(Builder[Amount (auto)],I107),""),"")</f>
        <v/>
      </c>
      <c r="I107">
        <f>ROW()-23</f>
        <v/>
      </c>
      <c r="J107">
        <f>INDEX(Builder[Row Type],I107)</f>
        <v/>
      </c>
    </row>
    <row r="108" hidden="1" ht="27.75" customHeight="1" s="63">
      <c r="B108" s="47">
        <f>IF(J108="LINE ITEM",IFERROR(INDEX(Builder[Qty],I108),""),"")</f>
        <v/>
      </c>
      <c r="C108" s="48">
        <f>IF(J108="SECTION HEADER",INDEX(Builder[Section Text (auto)],I108),IF(J108="LINE ITEM","x "&amp;T(INDEX(Builder[Final Description (auto)],I108)),""))</f>
        <v/>
      </c>
      <c r="D108" s="49">
        <f>IF(J108="LINE ITEM",IF(T(INDEX(Builder[Officer Type],I108))&lt;&gt;"","",T(INDEX(Builder[Notes / Posting Location],I108))),"")</f>
        <v/>
      </c>
      <c r="E108" s="50">
        <f>IF(J108="LINE ITEM",IFERROR(INDEX(Builder[Final Unit Price (auto)],I108),""),"")</f>
        <v/>
      </c>
      <c r="F108" s="47">
        <f>IF(J108="LINE ITEM",IFERROR(INDEX(Builder[Shifts / Units],I108),""),"")</f>
        <v/>
      </c>
      <c r="G108" s="50">
        <f>IF(J108="LINE ITEM",IFERROR(INDEX(Builder[Amount (auto)],I108),""),"")</f>
        <v/>
      </c>
      <c r="I108">
        <f>ROW()-23</f>
        <v/>
      </c>
      <c r="J108">
        <f>INDEX(Builder[Row Type],I108)</f>
        <v/>
      </c>
    </row>
    <row r="109" hidden="1" ht="27.75" customHeight="1" s="63">
      <c r="B109" s="47">
        <f>IF(J109="LINE ITEM",IFERROR(INDEX(Builder[Qty],I109),""),"")</f>
        <v/>
      </c>
      <c r="C109" s="48">
        <f>IF(J109="SECTION HEADER",INDEX(Builder[Section Text (auto)],I109),IF(J109="LINE ITEM","x "&amp;T(INDEX(Builder[Final Description (auto)],I109)),""))</f>
        <v/>
      </c>
      <c r="D109" s="49">
        <f>IF(J109="LINE ITEM",IF(T(INDEX(Builder[Officer Type],I109))&lt;&gt;"","",T(INDEX(Builder[Notes / Posting Location],I109))),"")</f>
        <v/>
      </c>
      <c r="E109" s="50">
        <f>IF(J109="LINE ITEM",IFERROR(INDEX(Builder[Final Unit Price (auto)],I109),""),"")</f>
        <v/>
      </c>
      <c r="F109" s="47">
        <f>IF(J109="LINE ITEM",IFERROR(INDEX(Builder[Shifts / Units],I109),""),"")</f>
        <v/>
      </c>
      <c r="G109" s="50">
        <f>IF(J109="LINE ITEM",IFERROR(INDEX(Builder[Amount (auto)],I109),""),"")</f>
        <v/>
      </c>
      <c r="I109">
        <f>ROW()-23</f>
        <v/>
      </c>
      <c r="J109">
        <f>INDEX(Builder[Row Type],I109)</f>
        <v/>
      </c>
    </row>
    <row r="110" hidden="1" ht="27.75" customHeight="1" s="63">
      <c r="B110" s="47">
        <f>IF(J110="LINE ITEM",IFERROR(INDEX(Builder[Qty],I110),""),"")</f>
        <v/>
      </c>
      <c r="C110" s="48">
        <f>IF(J110="SECTION HEADER",INDEX(Builder[Section Text (auto)],I110),IF(J110="LINE ITEM","x "&amp;T(INDEX(Builder[Final Description (auto)],I110)),""))</f>
        <v/>
      </c>
      <c r="D110" s="49">
        <f>IF(J110="LINE ITEM",IF(T(INDEX(Builder[Officer Type],I110))&lt;&gt;"","",T(INDEX(Builder[Notes / Posting Location],I110))),"")</f>
        <v/>
      </c>
      <c r="E110" s="50">
        <f>IF(J110="LINE ITEM",IFERROR(INDEX(Builder[Final Unit Price (auto)],I110),""),"")</f>
        <v/>
      </c>
      <c r="F110" s="47">
        <f>IF(J110="LINE ITEM",IFERROR(INDEX(Builder[Shifts / Units],I110),""),"")</f>
        <v/>
      </c>
      <c r="G110" s="50">
        <f>IF(J110="LINE ITEM",IFERROR(INDEX(Builder[Amount (auto)],I110),""),"")</f>
        <v/>
      </c>
      <c r="I110">
        <f>ROW()-23</f>
        <v/>
      </c>
      <c r="J110">
        <f>INDEX(Builder[Row Type],I110)</f>
        <v/>
      </c>
    </row>
    <row r="111" hidden="1" ht="27.75" customHeight="1" s="63">
      <c r="B111" s="47">
        <f>IF(J111="LINE ITEM",IFERROR(INDEX(Builder[Qty],I111),""),"")</f>
        <v/>
      </c>
      <c r="C111" s="48">
        <f>IF(J111="SECTION HEADER",INDEX(Builder[Section Text (auto)],I111),IF(J111="LINE ITEM","x "&amp;T(INDEX(Builder[Final Description (auto)],I111)),""))</f>
        <v/>
      </c>
      <c r="D111" s="49">
        <f>IF(J111="LINE ITEM",IF(T(INDEX(Builder[Officer Type],I111))&lt;&gt;"","",T(INDEX(Builder[Notes / Posting Location],I111))),"")</f>
        <v/>
      </c>
      <c r="E111" s="50">
        <f>IF(J111="LINE ITEM",IFERROR(INDEX(Builder[Final Unit Price (auto)],I111),""),"")</f>
        <v/>
      </c>
      <c r="F111" s="47">
        <f>IF(J111="LINE ITEM",IFERROR(INDEX(Builder[Shifts / Units],I111),""),"")</f>
        <v/>
      </c>
      <c r="G111" s="50">
        <f>IF(J111="LINE ITEM",IFERROR(INDEX(Builder[Amount (auto)],I111),""),"")</f>
        <v/>
      </c>
      <c r="I111">
        <f>ROW()-23</f>
        <v/>
      </c>
      <c r="J111">
        <f>INDEX(Builder[Row Type],I111)</f>
        <v/>
      </c>
    </row>
    <row r="112" hidden="1" ht="27.75" customHeight="1" s="63">
      <c r="B112" s="47">
        <f>IF(J112="LINE ITEM",IFERROR(INDEX(Builder[Qty],I112),""),"")</f>
        <v/>
      </c>
      <c r="C112" s="48">
        <f>IF(J112="SECTION HEADER",INDEX(Builder[Section Text (auto)],I112),IF(J112="LINE ITEM","x "&amp;T(INDEX(Builder[Final Description (auto)],I112)),""))</f>
        <v/>
      </c>
      <c r="D112" s="49">
        <f>IF(J112="LINE ITEM",IF(T(INDEX(Builder[Officer Type],I112))&lt;&gt;"","",T(INDEX(Builder[Notes / Posting Location],I112))),"")</f>
        <v/>
      </c>
      <c r="E112" s="50">
        <f>IF(J112="LINE ITEM",IFERROR(INDEX(Builder[Final Unit Price (auto)],I112),""),"")</f>
        <v/>
      </c>
      <c r="F112" s="47">
        <f>IF(J112="LINE ITEM",IFERROR(INDEX(Builder[Shifts / Units],I112),""),"")</f>
        <v/>
      </c>
      <c r="G112" s="50">
        <f>IF(J112="LINE ITEM",IFERROR(INDEX(Builder[Amount (auto)],I112),""),"")</f>
        <v/>
      </c>
      <c r="I112">
        <f>ROW()-23</f>
        <v/>
      </c>
      <c r="J112">
        <f>INDEX(Builder[Row Type],I112)</f>
        <v/>
      </c>
    </row>
    <row r="113" hidden="1" ht="27.75" customHeight="1" s="63">
      <c r="B113" s="47">
        <f>IF(J113="LINE ITEM",IFERROR(INDEX(Builder[Qty],I113),""),"")</f>
        <v/>
      </c>
      <c r="C113" s="48">
        <f>IF(J113="SECTION HEADER",INDEX(Builder[Section Text (auto)],I113),IF(J113="LINE ITEM","x "&amp;T(INDEX(Builder[Final Description (auto)],I113)),""))</f>
        <v/>
      </c>
      <c r="D113" s="49">
        <f>IF(J113="LINE ITEM",IF(T(INDEX(Builder[Officer Type],I113))&lt;&gt;"","",T(INDEX(Builder[Notes / Posting Location],I113))),"")</f>
        <v/>
      </c>
      <c r="E113" s="50">
        <f>IF(J113="LINE ITEM",IFERROR(INDEX(Builder[Final Unit Price (auto)],I113),""),"")</f>
        <v/>
      </c>
      <c r="F113" s="47">
        <f>IF(J113="LINE ITEM",IFERROR(INDEX(Builder[Shifts / Units],I113),""),"")</f>
        <v/>
      </c>
      <c r="G113" s="50">
        <f>IF(J113="LINE ITEM",IFERROR(INDEX(Builder[Amount (auto)],I113),""),"")</f>
        <v/>
      </c>
      <c r="I113">
        <f>ROW()-23</f>
        <v/>
      </c>
      <c r="J113">
        <f>INDEX(Builder[Row Type],I113)</f>
        <v/>
      </c>
    </row>
    <row r="114" hidden="1" ht="27.75" customHeight="1" s="63">
      <c r="B114" s="47">
        <f>IF(J114="LINE ITEM",IFERROR(INDEX(Builder[Qty],I114),""),"")</f>
        <v/>
      </c>
      <c r="C114" s="48">
        <f>IF(J114="SECTION HEADER",INDEX(Builder[Section Text (auto)],I114),IF(J114="LINE ITEM","x "&amp;T(INDEX(Builder[Final Description (auto)],I114)),""))</f>
        <v/>
      </c>
      <c r="D114" s="49">
        <f>IF(J114="LINE ITEM",IF(T(INDEX(Builder[Officer Type],I114))&lt;&gt;"","",T(INDEX(Builder[Notes / Posting Location],I114))),"")</f>
        <v/>
      </c>
      <c r="E114" s="50">
        <f>IF(J114="LINE ITEM",IFERROR(INDEX(Builder[Final Unit Price (auto)],I114),""),"")</f>
        <v/>
      </c>
      <c r="F114" s="47">
        <f>IF(J114="LINE ITEM",IFERROR(INDEX(Builder[Shifts / Units],I114),""),"")</f>
        <v/>
      </c>
      <c r="G114" s="50">
        <f>IF(J114="LINE ITEM",IFERROR(INDEX(Builder[Amount (auto)],I114),""),"")</f>
        <v/>
      </c>
      <c r="I114">
        <f>ROW()-23</f>
        <v/>
      </c>
      <c r="J114">
        <f>INDEX(Builder[Row Type],I114)</f>
        <v/>
      </c>
    </row>
    <row r="115" hidden="1" ht="27.75" customHeight="1" s="63">
      <c r="B115" s="47">
        <f>IF(J115="LINE ITEM",IFERROR(INDEX(Builder[Qty],I115),""),"")</f>
        <v/>
      </c>
      <c r="C115" s="48">
        <f>IF(J115="SECTION HEADER",INDEX(Builder[Section Text (auto)],I115),IF(J115="LINE ITEM","x "&amp;T(INDEX(Builder[Final Description (auto)],I115)),""))</f>
        <v/>
      </c>
      <c r="D115" s="49">
        <f>IF(J115="LINE ITEM",IF(T(INDEX(Builder[Officer Type],I115))&lt;&gt;"","",T(INDEX(Builder[Notes / Posting Location],I115))),"")</f>
        <v/>
      </c>
      <c r="E115" s="50">
        <f>IF(J115="LINE ITEM",IFERROR(INDEX(Builder[Final Unit Price (auto)],I115),""),"")</f>
        <v/>
      </c>
      <c r="F115" s="47">
        <f>IF(J115="LINE ITEM",IFERROR(INDEX(Builder[Shifts / Units],I115),""),"")</f>
        <v/>
      </c>
      <c r="G115" s="50">
        <f>IF(J115="LINE ITEM",IFERROR(INDEX(Builder[Amount (auto)],I115),""),"")</f>
        <v/>
      </c>
      <c r="I115">
        <f>ROW()-23</f>
        <v/>
      </c>
      <c r="J115">
        <f>INDEX(Builder[Row Type],I115)</f>
        <v/>
      </c>
    </row>
    <row r="116" hidden="1" ht="27.75" customHeight="1" s="63">
      <c r="B116" s="47">
        <f>IF(J116="LINE ITEM",IFERROR(INDEX(Builder[Qty],I116),""),"")</f>
        <v/>
      </c>
      <c r="C116" s="48">
        <f>IF(J116="SECTION HEADER",INDEX(Builder[Section Text (auto)],I116),IF(J116="LINE ITEM","x "&amp;T(INDEX(Builder[Final Description (auto)],I116)),""))</f>
        <v/>
      </c>
      <c r="D116" s="49">
        <f>IF(J116="LINE ITEM",IF(T(INDEX(Builder[Officer Type],I116))&lt;&gt;"","",T(INDEX(Builder[Notes / Posting Location],I116))),"")</f>
        <v/>
      </c>
      <c r="E116" s="50">
        <f>IF(J116="LINE ITEM",IFERROR(INDEX(Builder[Final Unit Price (auto)],I116),""),"")</f>
        <v/>
      </c>
      <c r="F116" s="47">
        <f>IF(J116="LINE ITEM",IFERROR(INDEX(Builder[Shifts / Units],I116),""),"")</f>
        <v/>
      </c>
      <c r="G116" s="50">
        <f>IF(J116="LINE ITEM",IFERROR(INDEX(Builder[Amount (auto)],I116),""),"")</f>
        <v/>
      </c>
      <c r="I116">
        <f>ROW()-23</f>
        <v/>
      </c>
      <c r="J116">
        <f>INDEX(Builder[Row Type],I116)</f>
        <v/>
      </c>
    </row>
    <row r="117" hidden="1" ht="27.75" customHeight="1" s="63">
      <c r="B117" s="47">
        <f>IF(J117="LINE ITEM",IFERROR(INDEX(Builder[Qty],I117),""),"")</f>
        <v/>
      </c>
      <c r="C117" s="48">
        <f>IF(J117="SECTION HEADER",INDEX(Builder[Section Text (auto)],I117),IF(J117="LINE ITEM","x "&amp;T(INDEX(Builder[Final Description (auto)],I117)),""))</f>
        <v/>
      </c>
      <c r="D117" s="49">
        <f>IF(J117="LINE ITEM",IF(T(INDEX(Builder[Officer Type],I117))&lt;&gt;"","",T(INDEX(Builder[Notes / Posting Location],I117))),"")</f>
        <v/>
      </c>
      <c r="E117" s="50">
        <f>IF(J117="LINE ITEM",IFERROR(INDEX(Builder[Final Unit Price (auto)],I117),""),"")</f>
        <v/>
      </c>
      <c r="F117" s="47">
        <f>IF(J117="LINE ITEM",IFERROR(INDEX(Builder[Shifts / Units],I117),""),"")</f>
        <v/>
      </c>
      <c r="G117" s="50">
        <f>IF(J117="LINE ITEM",IFERROR(INDEX(Builder[Amount (auto)],I117),""),"")</f>
        <v/>
      </c>
      <c r="I117">
        <f>ROW()-23</f>
        <v/>
      </c>
      <c r="J117">
        <f>INDEX(Builder[Row Type],I117)</f>
        <v/>
      </c>
    </row>
    <row r="118" hidden="1" ht="27.75" customHeight="1" s="63">
      <c r="B118" s="47">
        <f>IF(J118="LINE ITEM",IFERROR(INDEX(Builder[Qty],I118),""),"")</f>
        <v/>
      </c>
      <c r="C118" s="48">
        <f>IF(J118="SECTION HEADER",INDEX(Builder[Section Text (auto)],I118),IF(J118="LINE ITEM","x "&amp;T(INDEX(Builder[Final Description (auto)],I118)),""))</f>
        <v/>
      </c>
      <c r="D118" s="49">
        <f>IF(J118="LINE ITEM",IF(T(INDEX(Builder[Officer Type],I118))&lt;&gt;"","",T(INDEX(Builder[Notes / Posting Location],I118))),"")</f>
        <v/>
      </c>
      <c r="E118" s="50">
        <f>IF(J118="LINE ITEM",IFERROR(INDEX(Builder[Final Unit Price (auto)],I118),""),"")</f>
        <v/>
      </c>
      <c r="F118" s="47">
        <f>IF(J118="LINE ITEM",IFERROR(INDEX(Builder[Shifts / Units],I118),""),"")</f>
        <v/>
      </c>
      <c r="G118" s="50">
        <f>IF(J118="LINE ITEM",IFERROR(INDEX(Builder[Amount (auto)],I118),""),"")</f>
        <v/>
      </c>
      <c r="I118">
        <f>ROW()-23</f>
        <v/>
      </c>
      <c r="J118">
        <f>INDEX(Builder[Row Type],I118)</f>
        <v/>
      </c>
    </row>
    <row r="119" hidden="1" ht="27.75" customHeight="1" s="63">
      <c r="B119" s="47">
        <f>IF(J119="LINE ITEM",IFERROR(INDEX(Builder[Qty],I119),""),"")</f>
        <v/>
      </c>
      <c r="C119" s="48">
        <f>IF(J119="SECTION HEADER",INDEX(Builder[Section Text (auto)],I119),IF(J119="LINE ITEM","x "&amp;T(INDEX(Builder[Final Description (auto)],I119)),""))</f>
        <v/>
      </c>
      <c r="D119" s="49">
        <f>IF(J119="LINE ITEM",IF(T(INDEX(Builder[Officer Type],I119))&lt;&gt;"","",T(INDEX(Builder[Notes / Posting Location],I119))),"")</f>
        <v/>
      </c>
      <c r="E119" s="50">
        <f>IF(J119="LINE ITEM",IFERROR(INDEX(Builder[Final Unit Price (auto)],I119),""),"")</f>
        <v/>
      </c>
      <c r="F119" s="47">
        <f>IF(J119="LINE ITEM",IFERROR(INDEX(Builder[Shifts / Units],I119),""),"")</f>
        <v/>
      </c>
      <c r="G119" s="50">
        <f>IF(J119="LINE ITEM",IFERROR(INDEX(Builder[Amount (auto)],I119),""),"")</f>
        <v/>
      </c>
      <c r="I119">
        <f>ROW()-23</f>
        <v/>
      </c>
      <c r="J119">
        <f>INDEX(Builder[Row Type],I119)</f>
        <v/>
      </c>
    </row>
    <row r="120" hidden="1" ht="27.75" customHeight="1" s="63">
      <c r="B120" s="47">
        <f>IF(J120="LINE ITEM",IFERROR(INDEX(Builder[Qty],I120),""),"")</f>
        <v/>
      </c>
      <c r="C120" s="48">
        <f>IF(J120="SECTION HEADER",INDEX(Builder[Section Text (auto)],I120),IF(J120="LINE ITEM","x "&amp;T(INDEX(Builder[Final Description (auto)],I120)),""))</f>
        <v/>
      </c>
      <c r="D120" s="49">
        <f>IF(J120="LINE ITEM",IF(T(INDEX(Builder[Officer Type],I120))&lt;&gt;"","",T(INDEX(Builder[Notes / Posting Location],I120))),"")</f>
        <v/>
      </c>
      <c r="E120" s="50">
        <f>IF(J120="LINE ITEM",IFERROR(INDEX(Builder[Final Unit Price (auto)],I120),""),"")</f>
        <v/>
      </c>
      <c r="F120" s="47">
        <f>IF(J120="LINE ITEM",IFERROR(INDEX(Builder[Shifts / Units],I120),""),"")</f>
        <v/>
      </c>
      <c r="G120" s="50">
        <f>IF(J120="LINE ITEM",IFERROR(INDEX(Builder[Amount (auto)],I120),""),"")</f>
        <v/>
      </c>
      <c r="I120">
        <f>ROW()-23</f>
        <v/>
      </c>
      <c r="J120">
        <f>INDEX(Builder[Row Type],I120)</f>
        <v/>
      </c>
    </row>
    <row r="121" hidden="1" ht="27.75" customHeight="1" s="63">
      <c r="B121" s="47">
        <f>IF(J121="LINE ITEM",IFERROR(INDEX(Builder[Qty],I121),""),"")</f>
        <v/>
      </c>
      <c r="C121" s="48">
        <f>IF(J121="SECTION HEADER",INDEX(Builder[Section Text (auto)],I121),IF(J121="LINE ITEM","x "&amp;T(INDEX(Builder[Final Description (auto)],I121)),""))</f>
        <v/>
      </c>
      <c r="D121" s="49">
        <f>IF(J121="LINE ITEM",IF(T(INDEX(Builder[Officer Type],I121))&lt;&gt;"","",T(INDEX(Builder[Notes / Posting Location],I121))),"")</f>
        <v/>
      </c>
      <c r="E121" s="50">
        <f>IF(J121="LINE ITEM",IFERROR(INDEX(Builder[Final Unit Price (auto)],I121),""),"")</f>
        <v/>
      </c>
      <c r="F121" s="47">
        <f>IF(J121="LINE ITEM",IFERROR(INDEX(Builder[Shifts / Units],I121),""),"")</f>
        <v/>
      </c>
      <c r="G121" s="50">
        <f>IF(J121="LINE ITEM",IFERROR(INDEX(Builder[Amount (auto)],I121),""),"")</f>
        <v/>
      </c>
      <c r="I121">
        <f>ROW()-23</f>
        <v/>
      </c>
      <c r="J121">
        <f>INDEX(Builder[Row Type],I121)</f>
        <v/>
      </c>
    </row>
    <row r="122" hidden="1" ht="27.75" customHeight="1" s="63">
      <c r="B122" s="47">
        <f>IF(J122="LINE ITEM",IFERROR(INDEX(Builder[Qty],I122),""),"")</f>
        <v/>
      </c>
      <c r="C122" s="48">
        <f>IF(J122="SECTION HEADER",INDEX(Builder[Section Text (auto)],I122),IF(J122="LINE ITEM","x "&amp;T(INDEX(Builder[Final Description (auto)],I122)),""))</f>
        <v/>
      </c>
      <c r="D122" s="49">
        <f>IF(J122="LINE ITEM",IF(T(INDEX(Builder[Officer Type],I122))&lt;&gt;"","",T(INDEX(Builder[Notes / Posting Location],I122))),"")</f>
        <v/>
      </c>
      <c r="E122" s="50">
        <f>IF(J122="LINE ITEM",IFERROR(INDEX(Builder[Final Unit Price (auto)],I122),""),"")</f>
        <v/>
      </c>
      <c r="F122" s="47">
        <f>IF(J122="LINE ITEM",IFERROR(INDEX(Builder[Shifts / Units],I122),""),"")</f>
        <v/>
      </c>
      <c r="G122" s="50">
        <f>IF(J122="LINE ITEM",IFERROR(INDEX(Builder[Amount (auto)],I122),""),"")</f>
        <v/>
      </c>
      <c r="I122">
        <f>ROW()-23</f>
        <v/>
      </c>
      <c r="J122">
        <f>INDEX(Builder[Row Type],I122)</f>
        <v/>
      </c>
    </row>
    <row r="123" hidden="1" ht="27.75" customHeight="1" s="63">
      <c r="B123" s="47">
        <f>IF(J123="LINE ITEM",IFERROR(INDEX(Builder[Qty],I123),""),"")</f>
        <v/>
      </c>
      <c r="C123" s="48">
        <f>IF(J123="SECTION HEADER",INDEX(Builder[Section Text (auto)],I123),IF(J123="LINE ITEM","x "&amp;T(INDEX(Builder[Final Description (auto)],I123)),""))</f>
        <v/>
      </c>
      <c r="D123" s="49">
        <f>IF(J123="LINE ITEM",IF(T(INDEX(Builder[Officer Type],I123))&lt;&gt;"","",T(INDEX(Builder[Notes / Posting Location],I123))),"")</f>
        <v/>
      </c>
      <c r="E123" s="50">
        <f>IF(J123="LINE ITEM",IFERROR(INDEX(Builder[Final Unit Price (auto)],I123),""),"")</f>
        <v/>
      </c>
      <c r="F123" s="47">
        <f>IF(J123="LINE ITEM",IFERROR(INDEX(Builder[Shifts / Units],I123),""),"")</f>
        <v/>
      </c>
      <c r="G123" s="50">
        <f>IF(J123="LINE ITEM",IFERROR(INDEX(Builder[Amount (auto)],I123),""),"")</f>
        <v/>
      </c>
      <c r="I123">
        <f>ROW()-23</f>
        <v/>
      </c>
      <c r="J123">
        <f>INDEX(Builder[Row Type],I123)</f>
        <v/>
      </c>
    </row>
    <row r="124" hidden="1" ht="27.75" customHeight="1" s="63">
      <c r="B124" s="47">
        <f>IF(J124="LINE ITEM",IFERROR(INDEX(Builder[Qty],I124),""),"")</f>
        <v/>
      </c>
      <c r="C124" s="48">
        <f>IF(J124="SECTION HEADER",INDEX(Builder[Section Text (auto)],I124),IF(J124="LINE ITEM","x "&amp;T(INDEX(Builder[Final Description (auto)],I124)),""))</f>
        <v/>
      </c>
      <c r="D124" s="49">
        <f>IF(J124="LINE ITEM",IF(T(INDEX(Builder[Officer Type],I124))&lt;&gt;"","",T(INDEX(Builder[Notes / Posting Location],I124))),"")</f>
        <v/>
      </c>
      <c r="E124" s="50">
        <f>IF(J124="LINE ITEM",IFERROR(INDEX(Builder[Final Unit Price (auto)],I124),""),"")</f>
        <v/>
      </c>
      <c r="F124" s="47">
        <f>IF(J124="LINE ITEM",IFERROR(INDEX(Builder[Shifts / Units],I124),""),"")</f>
        <v/>
      </c>
      <c r="G124" s="50">
        <f>IF(J124="LINE ITEM",IFERROR(INDEX(Builder[Amount (auto)],I124),""),"")</f>
        <v/>
      </c>
      <c r="I124">
        <f>ROW()-23</f>
        <v/>
      </c>
      <c r="J124">
        <f>INDEX(Builder[Row Type],I124)</f>
        <v/>
      </c>
    </row>
    <row r="125" hidden="1" ht="27.75" customHeight="1" s="63">
      <c r="B125" s="47">
        <f>IF(J125="LINE ITEM",IFERROR(INDEX(Builder[Qty],I125),""),"")</f>
        <v/>
      </c>
      <c r="C125" s="48">
        <f>IF(J125="SECTION HEADER",INDEX(Builder[Section Text (auto)],I125),IF(J125="LINE ITEM","x "&amp;T(INDEX(Builder[Final Description (auto)],I125)),""))</f>
        <v/>
      </c>
      <c r="D125" s="49">
        <f>IF(J125="LINE ITEM",IF(T(INDEX(Builder[Officer Type],I125))&lt;&gt;"","",T(INDEX(Builder[Notes / Posting Location],I125))),"")</f>
        <v/>
      </c>
      <c r="E125" s="50">
        <f>IF(J125="LINE ITEM",IFERROR(INDEX(Builder[Final Unit Price (auto)],I125),""),"")</f>
        <v/>
      </c>
      <c r="F125" s="47">
        <f>IF(J125="LINE ITEM",IFERROR(INDEX(Builder[Shifts / Units],I125),""),"")</f>
        <v/>
      </c>
      <c r="G125" s="50">
        <f>IF(J125="LINE ITEM",IFERROR(INDEX(Builder[Amount (auto)],I125),""),"")</f>
        <v/>
      </c>
      <c r="I125">
        <f>ROW()-23</f>
        <v/>
      </c>
      <c r="J125">
        <f>INDEX(Builder[Row Type],I125)</f>
        <v/>
      </c>
    </row>
    <row r="126" hidden="1" ht="27.75" customHeight="1" s="63">
      <c r="B126" s="47">
        <f>IF(J126="LINE ITEM",IFERROR(INDEX(Builder[Qty],I126),""),"")</f>
        <v/>
      </c>
      <c r="C126" s="48">
        <f>IF(J126="SECTION HEADER",INDEX(Builder[Section Text (auto)],I126),IF(J126="LINE ITEM","x "&amp;T(INDEX(Builder[Final Description (auto)],I126)),""))</f>
        <v/>
      </c>
      <c r="D126" s="49">
        <f>IF(J126="LINE ITEM",IF(T(INDEX(Builder[Officer Type],I126))&lt;&gt;"","",T(INDEX(Builder[Notes / Posting Location],I126))),"")</f>
        <v/>
      </c>
      <c r="E126" s="50">
        <f>IF(J126="LINE ITEM",IFERROR(INDEX(Builder[Final Unit Price (auto)],I126),""),"")</f>
        <v/>
      </c>
      <c r="F126" s="47">
        <f>IF(J126="LINE ITEM",IFERROR(INDEX(Builder[Shifts / Units],I126),""),"")</f>
        <v/>
      </c>
      <c r="G126" s="50">
        <f>IF(J126="LINE ITEM",IFERROR(INDEX(Builder[Amount (auto)],I126),""),"")</f>
        <v/>
      </c>
      <c r="I126">
        <f>ROW()-23</f>
        <v/>
      </c>
      <c r="J126">
        <f>INDEX(Builder[Row Type],I126)</f>
        <v/>
      </c>
    </row>
    <row r="127" hidden="1" ht="27.75" customHeight="1" s="63">
      <c r="B127" s="47">
        <f>IF(J127="LINE ITEM",IFERROR(INDEX(Builder[Qty],I127),""),"")</f>
        <v/>
      </c>
      <c r="C127" s="48">
        <f>IF(J127="SECTION HEADER",INDEX(Builder[Section Text (auto)],I127),IF(J127="LINE ITEM","x "&amp;T(INDEX(Builder[Final Description (auto)],I127)),""))</f>
        <v/>
      </c>
      <c r="D127" s="49">
        <f>IF(J127="LINE ITEM",IF(T(INDEX(Builder[Officer Type],I127))&lt;&gt;"","",T(INDEX(Builder[Notes / Posting Location],I127))),"")</f>
        <v/>
      </c>
      <c r="E127" s="50">
        <f>IF(J127="LINE ITEM",IFERROR(INDEX(Builder[Final Unit Price (auto)],I127),""),"")</f>
        <v/>
      </c>
      <c r="F127" s="47">
        <f>IF(J127="LINE ITEM",IFERROR(INDEX(Builder[Shifts / Units],I127),""),"")</f>
        <v/>
      </c>
      <c r="G127" s="50">
        <f>IF(J127="LINE ITEM",IFERROR(INDEX(Builder[Amount (auto)],I127),""),"")</f>
        <v/>
      </c>
      <c r="I127">
        <f>ROW()-23</f>
        <v/>
      </c>
      <c r="J127">
        <f>INDEX(Builder[Row Type],I127)</f>
        <v/>
      </c>
    </row>
    <row r="128" hidden="1" ht="27.75" customHeight="1" s="63">
      <c r="B128" s="47">
        <f>IF(J128="LINE ITEM",IFERROR(INDEX(Builder[Qty],I128),""),"")</f>
        <v/>
      </c>
      <c r="C128" s="48">
        <f>IF(J128="SECTION HEADER",INDEX(Builder[Section Text (auto)],I128),IF(J128="LINE ITEM","x "&amp;T(INDEX(Builder[Final Description (auto)],I128)),""))</f>
        <v/>
      </c>
      <c r="D128" s="49">
        <f>IF(J128="LINE ITEM",IF(T(INDEX(Builder[Officer Type],I128))&lt;&gt;"","",T(INDEX(Builder[Notes / Posting Location],I128))),"")</f>
        <v/>
      </c>
      <c r="E128" s="50">
        <f>IF(J128="LINE ITEM",IFERROR(INDEX(Builder[Final Unit Price (auto)],I128),""),"")</f>
        <v/>
      </c>
      <c r="F128" s="47">
        <f>IF(J128="LINE ITEM",IFERROR(INDEX(Builder[Shifts / Units],I128),""),"")</f>
        <v/>
      </c>
      <c r="G128" s="50">
        <f>IF(J128="LINE ITEM",IFERROR(INDEX(Builder[Amount (auto)],I128),""),"")</f>
        <v/>
      </c>
      <c r="I128">
        <f>ROW()-23</f>
        <v/>
      </c>
      <c r="J128">
        <f>INDEX(Builder[Row Type],I128)</f>
        <v/>
      </c>
    </row>
    <row r="129" hidden="1" ht="27.75" customHeight="1" s="63">
      <c r="B129" s="47">
        <f>IF(J129="LINE ITEM",IFERROR(INDEX(Builder[Qty],I129),""),"")</f>
        <v/>
      </c>
      <c r="C129" s="48">
        <f>IF(J129="SECTION HEADER",INDEX(Builder[Section Text (auto)],I129),IF(J129="LINE ITEM","x "&amp;T(INDEX(Builder[Final Description (auto)],I129)),""))</f>
        <v/>
      </c>
      <c r="D129" s="49">
        <f>IF(J129="LINE ITEM",IF(T(INDEX(Builder[Officer Type],I129))&lt;&gt;"","",T(INDEX(Builder[Notes / Posting Location],I129))),"")</f>
        <v/>
      </c>
      <c r="E129" s="50">
        <f>IF(J129="LINE ITEM",IFERROR(INDEX(Builder[Final Unit Price (auto)],I129),""),"")</f>
        <v/>
      </c>
      <c r="F129" s="47">
        <f>IF(J129="LINE ITEM",IFERROR(INDEX(Builder[Shifts / Units],I129),""),"")</f>
        <v/>
      </c>
      <c r="G129" s="50">
        <f>IF(J129="LINE ITEM",IFERROR(INDEX(Builder[Amount (auto)],I129),""),"")</f>
        <v/>
      </c>
      <c r="I129">
        <f>ROW()-23</f>
        <v/>
      </c>
      <c r="J129">
        <f>INDEX(Builder[Row Type],I129)</f>
        <v/>
      </c>
    </row>
    <row r="130" hidden="1" ht="27.75" customHeight="1" s="63">
      <c r="B130" s="47">
        <f>IF(J130="LINE ITEM",IFERROR(INDEX(Builder[Qty],I130),""),"")</f>
        <v/>
      </c>
      <c r="C130" s="48">
        <f>IF(J130="SECTION HEADER",INDEX(Builder[Section Text (auto)],I130),IF(J130="LINE ITEM","x "&amp;T(INDEX(Builder[Final Description (auto)],I130)),""))</f>
        <v/>
      </c>
      <c r="D130" s="49">
        <f>IF(J130="LINE ITEM",IF(T(INDEX(Builder[Officer Type],I130))&lt;&gt;"","",T(INDEX(Builder[Notes / Posting Location],I130))),"")</f>
        <v/>
      </c>
      <c r="E130" s="50">
        <f>IF(J130="LINE ITEM",IFERROR(INDEX(Builder[Final Unit Price (auto)],I130),""),"")</f>
        <v/>
      </c>
      <c r="F130" s="47">
        <f>IF(J130="LINE ITEM",IFERROR(INDEX(Builder[Shifts / Units],I130),""),"")</f>
        <v/>
      </c>
      <c r="G130" s="50">
        <f>IF(J130="LINE ITEM",IFERROR(INDEX(Builder[Amount (auto)],I130),""),"")</f>
        <v/>
      </c>
      <c r="I130">
        <f>ROW()-23</f>
        <v/>
      </c>
      <c r="J130">
        <f>INDEX(Builder[Row Type],I130)</f>
        <v/>
      </c>
    </row>
    <row r="131" hidden="1" ht="27.75" customHeight="1" s="63">
      <c r="B131" s="47">
        <f>IF(J131="LINE ITEM",IFERROR(INDEX(Builder[Qty],I131),""),"")</f>
        <v/>
      </c>
      <c r="C131" s="48">
        <f>IF(J131="SECTION HEADER",INDEX(Builder[Section Text (auto)],I131),IF(J131="LINE ITEM","x "&amp;T(INDEX(Builder[Final Description (auto)],I131)),""))</f>
        <v/>
      </c>
      <c r="D131" s="49">
        <f>IF(J131="LINE ITEM",IF(T(INDEX(Builder[Officer Type],I131))&lt;&gt;"","",T(INDEX(Builder[Notes / Posting Location],I131))),"")</f>
        <v/>
      </c>
      <c r="E131" s="50">
        <f>IF(J131="LINE ITEM",IFERROR(INDEX(Builder[Final Unit Price (auto)],I131),""),"")</f>
        <v/>
      </c>
      <c r="F131" s="47">
        <f>IF(J131="LINE ITEM",IFERROR(INDEX(Builder[Shifts / Units],I131),""),"")</f>
        <v/>
      </c>
      <c r="G131" s="50">
        <f>IF(J131="LINE ITEM",IFERROR(INDEX(Builder[Amount (auto)],I131),""),"")</f>
        <v/>
      </c>
      <c r="I131">
        <f>ROW()-23</f>
        <v/>
      </c>
      <c r="J131">
        <f>INDEX(Builder[Row Type],I131)</f>
        <v/>
      </c>
    </row>
    <row r="132" hidden="1" ht="27.75" customHeight="1" s="63">
      <c r="B132" s="47">
        <f>IF(J132="LINE ITEM",IFERROR(INDEX(Builder[Qty],I132),""),"")</f>
        <v/>
      </c>
      <c r="C132" s="48">
        <f>IF(J132="SECTION HEADER",INDEX(Builder[Section Text (auto)],I132),IF(J132="LINE ITEM","x "&amp;T(INDEX(Builder[Final Description (auto)],I132)),""))</f>
        <v/>
      </c>
      <c r="D132" s="49">
        <f>IF(J132="LINE ITEM",IF(T(INDEX(Builder[Officer Type],I132))&lt;&gt;"","",T(INDEX(Builder[Notes / Posting Location],I132))),"")</f>
        <v/>
      </c>
      <c r="E132" s="50">
        <f>IF(J132="LINE ITEM",IFERROR(INDEX(Builder[Final Unit Price (auto)],I132),""),"")</f>
        <v/>
      </c>
      <c r="F132" s="47">
        <f>IF(J132="LINE ITEM",IFERROR(INDEX(Builder[Shifts / Units],I132),""),"")</f>
        <v/>
      </c>
      <c r="G132" s="50">
        <f>IF(J132="LINE ITEM",IFERROR(INDEX(Builder[Amount (auto)],I132),""),"")</f>
        <v/>
      </c>
      <c r="I132">
        <f>ROW()-23</f>
        <v/>
      </c>
      <c r="J132">
        <f>INDEX(Builder[Row Type],I132)</f>
        <v/>
      </c>
    </row>
    <row r="133" hidden="1" ht="27.75" customHeight="1" s="63">
      <c r="B133" s="47">
        <f>IF(J133="LINE ITEM",IFERROR(INDEX(Builder[Qty],I133),""),"")</f>
        <v/>
      </c>
      <c r="C133" s="48">
        <f>IF(J133="SECTION HEADER",INDEX(Builder[Section Text (auto)],I133),IF(J133="LINE ITEM","x "&amp;T(INDEX(Builder[Final Description (auto)],I133)),""))</f>
        <v/>
      </c>
      <c r="D133" s="49">
        <f>IF(J133="LINE ITEM",IF(T(INDEX(Builder[Officer Type],I133))&lt;&gt;"","",T(INDEX(Builder[Notes / Posting Location],I133))),"")</f>
        <v/>
      </c>
      <c r="E133" s="50">
        <f>IF(J133="LINE ITEM",IFERROR(INDEX(Builder[Final Unit Price (auto)],I133),""),"")</f>
        <v/>
      </c>
      <c r="F133" s="47">
        <f>IF(J133="LINE ITEM",IFERROR(INDEX(Builder[Shifts / Units],I133),""),"")</f>
        <v/>
      </c>
      <c r="G133" s="50">
        <f>IF(J133="LINE ITEM",IFERROR(INDEX(Builder[Amount (auto)],I133),""),"")</f>
        <v/>
      </c>
      <c r="I133">
        <f>ROW()-23</f>
        <v/>
      </c>
      <c r="J133">
        <f>INDEX(Builder[Row Type],I133)</f>
        <v/>
      </c>
    </row>
    <row r="134" hidden="1" ht="27.75" customHeight="1" s="63">
      <c r="B134" s="47">
        <f>IF(J134="LINE ITEM",IFERROR(INDEX(Builder[Qty],I134),""),"")</f>
        <v/>
      </c>
      <c r="C134" s="48">
        <f>IF(J134="SECTION HEADER",INDEX(Builder[Section Text (auto)],I134),IF(J134="LINE ITEM","x "&amp;T(INDEX(Builder[Final Description (auto)],I134)),""))</f>
        <v/>
      </c>
      <c r="D134" s="49">
        <f>IF(J134="LINE ITEM",IF(T(INDEX(Builder[Officer Type],I134))&lt;&gt;"","",T(INDEX(Builder[Notes / Posting Location],I134))),"")</f>
        <v/>
      </c>
      <c r="E134" s="50">
        <f>IF(J134="LINE ITEM",IFERROR(INDEX(Builder[Final Unit Price (auto)],I134),""),"")</f>
        <v/>
      </c>
      <c r="F134" s="47">
        <f>IF(J134="LINE ITEM",IFERROR(INDEX(Builder[Shifts / Units],I134),""),"")</f>
        <v/>
      </c>
      <c r="G134" s="50">
        <f>IF(J134="LINE ITEM",IFERROR(INDEX(Builder[Amount (auto)],I134),""),"")</f>
        <v/>
      </c>
      <c r="I134">
        <f>ROW()-23</f>
        <v/>
      </c>
      <c r="J134">
        <f>INDEX(Builder[Row Type],I134)</f>
        <v/>
      </c>
    </row>
    <row r="135" hidden="1" ht="27.75" customHeight="1" s="63">
      <c r="B135" s="47">
        <f>IF(J135="LINE ITEM",IFERROR(INDEX(Builder[Qty],I135),""),"")</f>
        <v/>
      </c>
      <c r="C135" s="48">
        <f>IF(J135="SECTION HEADER",INDEX(Builder[Section Text (auto)],I135),IF(J135="LINE ITEM","x "&amp;T(INDEX(Builder[Final Description (auto)],I135)),""))</f>
        <v/>
      </c>
      <c r="D135" s="49">
        <f>IF(J135="LINE ITEM",IF(T(INDEX(Builder[Officer Type],I135))&lt;&gt;"","",T(INDEX(Builder[Notes / Posting Location],I135))),"")</f>
        <v/>
      </c>
      <c r="E135" s="50">
        <f>IF(J135="LINE ITEM",IFERROR(INDEX(Builder[Final Unit Price (auto)],I135),""),"")</f>
        <v/>
      </c>
      <c r="F135" s="47">
        <f>IF(J135="LINE ITEM",IFERROR(INDEX(Builder[Shifts / Units],I135),""),"")</f>
        <v/>
      </c>
      <c r="G135" s="50">
        <f>IF(J135="LINE ITEM",IFERROR(INDEX(Builder[Amount (auto)],I135),""),"")</f>
        <v/>
      </c>
      <c r="I135">
        <f>ROW()-23</f>
        <v/>
      </c>
      <c r="J135">
        <f>INDEX(Builder[Row Type],I135)</f>
        <v/>
      </c>
    </row>
    <row r="136" hidden="1" ht="27.75" customHeight="1" s="63">
      <c r="B136" s="47">
        <f>IF(J136="LINE ITEM",IFERROR(INDEX(Builder[Qty],I136),""),"")</f>
        <v/>
      </c>
      <c r="C136" s="48">
        <f>IF(J136="SECTION HEADER",INDEX(Builder[Section Text (auto)],I136),IF(J136="LINE ITEM","x "&amp;T(INDEX(Builder[Final Description (auto)],I136)),""))</f>
        <v/>
      </c>
      <c r="D136" s="49">
        <f>IF(J136="LINE ITEM",IF(T(INDEX(Builder[Officer Type],I136))&lt;&gt;"","",T(INDEX(Builder[Notes / Posting Location],I136))),"")</f>
        <v/>
      </c>
      <c r="E136" s="50">
        <f>IF(J136="LINE ITEM",IFERROR(INDEX(Builder[Final Unit Price (auto)],I136),""),"")</f>
        <v/>
      </c>
      <c r="F136" s="47">
        <f>IF(J136="LINE ITEM",IFERROR(INDEX(Builder[Shifts / Units],I136),""),"")</f>
        <v/>
      </c>
      <c r="G136" s="50">
        <f>IF(J136="LINE ITEM",IFERROR(INDEX(Builder[Amount (auto)],I136),""),"")</f>
        <v/>
      </c>
      <c r="I136">
        <f>ROW()-23</f>
        <v/>
      </c>
      <c r="J136">
        <f>INDEX(Builder[Row Type],I136)</f>
        <v/>
      </c>
    </row>
    <row r="137" hidden="1" ht="27.75" customHeight="1" s="63">
      <c r="B137" s="47">
        <f>IF(J137="LINE ITEM",IFERROR(INDEX(Builder[Qty],I137),""),"")</f>
        <v/>
      </c>
      <c r="C137" s="48">
        <f>IF(J137="SECTION HEADER",INDEX(Builder[Section Text (auto)],I137),IF(J137="LINE ITEM","x "&amp;T(INDEX(Builder[Final Description (auto)],I137)),""))</f>
        <v/>
      </c>
      <c r="D137" s="49">
        <f>IF(J137="LINE ITEM",IF(T(INDEX(Builder[Officer Type],I137))&lt;&gt;"","",T(INDEX(Builder[Notes / Posting Location],I137))),"")</f>
        <v/>
      </c>
      <c r="E137" s="50">
        <f>IF(J137="LINE ITEM",IFERROR(INDEX(Builder[Final Unit Price (auto)],I137),""),"")</f>
        <v/>
      </c>
      <c r="F137" s="47">
        <f>IF(J137="LINE ITEM",IFERROR(INDEX(Builder[Shifts / Units],I137),""),"")</f>
        <v/>
      </c>
      <c r="G137" s="50">
        <f>IF(J137="LINE ITEM",IFERROR(INDEX(Builder[Amount (auto)],I137),""),"")</f>
        <v/>
      </c>
      <c r="I137">
        <f>ROW()-23</f>
        <v/>
      </c>
      <c r="J137">
        <f>INDEX(Builder[Row Type],I137)</f>
        <v/>
      </c>
    </row>
    <row r="138" hidden="1" ht="27.75" customHeight="1" s="63">
      <c r="B138" s="47">
        <f>IF(J138="LINE ITEM",IFERROR(INDEX(Builder[Qty],I138),""),"")</f>
        <v/>
      </c>
      <c r="C138" s="48">
        <f>IF(J138="SECTION HEADER",INDEX(Builder[Section Text (auto)],I138),IF(J138="LINE ITEM","x "&amp;T(INDEX(Builder[Final Description (auto)],I138)),""))</f>
        <v/>
      </c>
      <c r="D138" s="49">
        <f>IF(J138="LINE ITEM",IF(T(INDEX(Builder[Officer Type],I138))&lt;&gt;"","",T(INDEX(Builder[Notes / Posting Location],I138))),"")</f>
        <v/>
      </c>
      <c r="E138" s="50">
        <f>IF(J138="LINE ITEM",IFERROR(INDEX(Builder[Final Unit Price (auto)],I138),""),"")</f>
        <v/>
      </c>
      <c r="F138" s="47">
        <f>IF(J138="LINE ITEM",IFERROR(INDEX(Builder[Shifts / Units],I138),""),"")</f>
        <v/>
      </c>
      <c r="G138" s="50">
        <f>IF(J138="LINE ITEM",IFERROR(INDEX(Builder[Amount (auto)],I138),""),"")</f>
        <v/>
      </c>
      <c r="I138">
        <f>ROW()-23</f>
        <v/>
      </c>
      <c r="J138">
        <f>INDEX(Builder[Row Type],I138)</f>
        <v/>
      </c>
    </row>
    <row r="139" hidden="1" ht="27.75" customHeight="1" s="63">
      <c r="B139" s="47">
        <f>IF(J139="LINE ITEM",IFERROR(INDEX(Builder[Qty],I139),""),"")</f>
        <v/>
      </c>
      <c r="C139" s="48">
        <f>IF(J139="SECTION HEADER",INDEX(Builder[Section Text (auto)],I139),IF(J139="LINE ITEM","x "&amp;T(INDEX(Builder[Final Description (auto)],I139)),""))</f>
        <v/>
      </c>
      <c r="D139" s="49">
        <f>IF(J139="LINE ITEM",IF(T(INDEX(Builder[Officer Type],I139))&lt;&gt;"","",T(INDEX(Builder[Notes / Posting Location],I139))),"")</f>
        <v/>
      </c>
      <c r="E139" s="50">
        <f>IF(J139="LINE ITEM",IFERROR(INDEX(Builder[Final Unit Price (auto)],I139),""),"")</f>
        <v/>
      </c>
      <c r="F139" s="47">
        <f>IF(J139="LINE ITEM",IFERROR(INDEX(Builder[Shifts / Units],I139),""),"")</f>
        <v/>
      </c>
      <c r="G139" s="50">
        <f>IF(J139="LINE ITEM",IFERROR(INDEX(Builder[Amount (auto)],I139),""),"")</f>
        <v/>
      </c>
      <c r="I139">
        <f>ROW()-23</f>
        <v/>
      </c>
      <c r="J139">
        <f>INDEX(Builder[Row Type],I139)</f>
        <v/>
      </c>
    </row>
    <row r="140" hidden="1" ht="27.75" customHeight="1" s="63">
      <c r="B140" s="47">
        <f>IF(J140="LINE ITEM",IFERROR(INDEX(Builder[Qty],I140),""),"")</f>
        <v/>
      </c>
      <c r="C140" s="48">
        <f>IF(J140="SECTION HEADER",INDEX(Builder[Section Text (auto)],I140),IF(J140="LINE ITEM","x "&amp;T(INDEX(Builder[Final Description (auto)],I140)),""))</f>
        <v/>
      </c>
      <c r="D140" s="49">
        <f>IF(J140="LINE ITEM",IF(T(INDEX(Builder[Officer Type],I140))&lt;&gt;"","",T(INDEX(Builder[Notes / Posting Location],I140))),"")</f>
        <v/>
      </c>
      <c r="E140" s="50">
        <f>IF(J140="LINE ITEM",IFERROR(INDEX(Builder[Final Unit Price (auto)],I140),""),"")</f>
        <v/>
      </c>
      <c r="F140" s="47">
        <f>IF(J140="LINE ITEM",IFERROR(INDEX(Builder[Shifts / Units],I140),""),"")</f>
        <v/>
      </c>
      <c r="G140" s="50">
        <f>IF(J140="LINE ITEM",IFERROR(INDEX(Builder[Amount (auto)],I140),""),"")</f>
        <v/>
      </c>
      <c r="I140">
        <f>ROW()-23</f>
        <v/>
      </c>
      <c r="J140">
        <f>INDEX(Builder[Row Type],I140)</f>
        <v/>
      </c>
    </row>
    <row r="141" hidden="1" ht="27.75" customHeight="1" s="63">
      <c r="B141" s="47">
        <f>IF(J141="LINE ITEM",IFERROR(INDEX(Builder[Qty],I141),""),"")</f>
        <v/>
      </c>
      <c r="C141" s="48">
        <f>IF(J141="SECTION HEADER",INDEX(Builder[Section Text (auto)],I141),IF(J141="LINE ITEM","x "&amp;T(INDEX(Builder[Final Description (auto)],I141)),""))</f>
        <v/>
      </c>
      <c r="D141" s="49">
        <f>IF(J141="LINE ITEM",IF(T(INDEX(Builder[Officer Type],I141))&lt;&gt;"","",T(INDEX(Builder[Notes / Posting Location],I141))),"")</f>
        <v/>
      </c>
      <c r="E141" s="50">
        <f>IF(J141="LINE ITEM",IFERROR(INDEX(Builder[Final Unit Price (auto)],I141),""),"")</f>
        <v/>
      </c>
      <c r="F141" s="47">
        <f>IF(J141="LINE ITEM",IFERROR(INDEX(Builder[Shifts / Units],I141),""),"")</f>
        <v/>
      </c>
      <c r="G141" s="50">
        <f>IF(J141="LINE ITEM",IFERROR(INDEX(Builder[Amount (auto)],I141),""),"")</f>
        <v/>
      </c>
      <c r="I141">
        <f>ROW()-23</f>
        <v/>
      </c>
      <c r="J141">
        <f>INDEX(Builder[Row Type],I141)</f>
        <v/>
      </c>
    </row>
    <row r="142" hidden="1" ht="27.75" customHeight="1" s="63">
      <c r="B142" s="47">
        <f>IF(J142="LINE ITEM",IFERROR(INDEX(Builder[Qty],I142),""),"")</f>
        <v/>
      </c>
      <c r="C142" s="48">
        <f>IF(J142="SECTION HEADER",INDEX(Builder[Section Text (auto)],I142),IF(J142="LINE ITEM","x "&amp;T(INDEX(Builder[Final Description (auto)],I142)),""))</f>
        <v/>
      </c>
      <c r="D142" s="49">
        <f>IF(J142="LINE ITEM",IF(T(INDEX(Builder[Officer Type],I142))&lt;&gt;"","",T(INDEX(Builder[Notes / Posting Location],I142))),"")</f>
        <v/>
      </c>
      <c r="E142" s="50">
        <f>IF(J142="LINE ITEM",IFERROR(INDEX(Builder[Final Unit Price (auto)],I142),""),"")</f>
        <v/>
      </c>
      <c r="F142" s="47">
        <f>IF(J142="LINE ITEM",IFERROR(INDEX(Builder[Shifts / Units],I142),""),"")</f>
        <v/>
      </c>
      <c r="G142" s="50">
        <f>IF(J142="LINE ITEM",IFERROR(INDEX(Builder[Amount (auto)],I142),""),"")</f>
        <v/>
      </c>
      <c r="I142">
        <f>ROW()-23</f>
        <v/>
      </c>
      <c r="J142">
        <f>INDEX(Builder[Row Type],I142)</f>
        <v/>
      </c>
    </row>
    <row r="143" hidden="1" ht="27.75" customHeight="1" s="63">
      <c r="B143" s="47">
        <f>IF(J143="LINE ITEM",IFERROR(INDEX(Builder[Qty],I143),""),"")</f>
        <v/>
      </c>
      <c r="C143" s="48">
        <f>IF(J143="SECTION HEADER",INDEX(Builder[Section Text (auto)],I143),IF(J143="LINE ITEM","x "&amp;T(INDEX(Builder[Final Description (auto)],I143)),""))</f>
        <v/>
      </c>
      <c r="D143" s="49">
        <f>IF(J143="LINE ITEM",IF(T(INDEX(Builder[Officer Type],I143))&lt;&gt;"","",T(INDEX(Builder[Notes / Posting Location],I143))),"")</f>
        <v/>
      </c>
      <c r="E143" s="50">
        <f>IF(J143="LINE ITEM",IFERROR(INDEX(Builder[Final Unit Price (auto)],I143),""),"")</f>
        <v/>
      </c>
      <c r="F143" s="47">
        <f>IF(J143="LINE ITEM",IFERROR(INDEX(Builder[Shifts / Units],I143),""),"")</f>
        <v/>
      </c>
      <c r="G143" s="50">
        <f>IF(J143="LINE ITEM",IFERROR(INDEX(Builder[Amount (auto)],I143),""),"")</f>
        <v/>
      </c>
      <c r="I143">
        <f>ROW()-23</f>
        <v/>
      </c>
      <c r="J143">
        <f>INDEX(Builder[Row Type],I143)</f>
        <v/>
      </c>
    </row>
    <row r="144" hidden="1" ht="27.75" customHeight="1" s="63">
      <c r="B144" s="47">
        <f>IF(J144="LINE ITEM",IFERROR(INDEX(Builder[Qty],I144),""),"")</f>
        <v/>
      </c>
      <c r="C144" s="48">
        <f>IF(J144="SECTION HEADER",INDEX(Builder[Section Text (auto)],I144),IF(J144="LINE ITEM","x "&amp;T(INDEX(Builder[Final Description (auto)],I144)),""))</f>
        <v/>
      </c>
      <c r="D144" s="49">
        <f>IF(J144="LINE ITEM",IF(T(INDEX(Builder[Officer Type],I144))&lt;&gt;"","",T(INDEX(Builder[Notes / Posting Location],I144))),"")</f>
        <v/>
      </c>
      <c r="E144" s="50">
        <f>IF(J144="LINE ITEM",IFERROR(INDEX(Builder[Final Unit Price (auto)],I144),""),"")</f>
        <v/>
      </c>
      <c r="F144" s="47">
        <f>IF(J144="LINE ITEM",IFERROR(INDEX(Builder[Shifts / Units],I144),""),"")</f>
        <v/>
      </c>
      <c r="G144" s="50">
        <f>IF(J144="LINE ITEM",IFERROR(INDEX(Builder[Amount (auto)],I144),""),"")</f>
        <v/>
      </c>
      <c r="I144">
        <f>ROW()-23</f>
        <v/>
      </c>
      <c r="J144">
        <f>INDEX(Builder[Row Type],I144)</f>
        <v/>
      </c>
    </row>
    <row r="145" hidden="1" ht="27.75" customHeight="1" s="63">
      <c r="B145" s="47">
        <f>IF(J145="LINE ITEM",IFERROR(INDEX(Builder[Qty],I145),""),"")</f>
        <v/>
      </c>
      <c r="C145" s="48">
        <f>IF(J145="SECTION HEADER",INDEX(Builder[Section Text (auto)],I145),IF(J145="LINE ITEM","x "&amp;T(INDEX(Builder[Final Description (auto)],I145)),""))</f>
        <v/>
      </c>
      <c r="D145" s="49">
        <f>IF(J145="LINE ITEM",IF(T(INDEX(Builder[Officer Type],I145))&lt;&gt;"","",T(INDEX(Builder[Notes / Posting Location],I145))),"")</f>
        <v/>
      </c>
      <c r="E145" s="50">
        <f>IF(J145="LINE ITEM",IFERROR(INDEX(Builder[Final Unit Price (auto)],I145),""),"")</f>
        <v/>
      </c>
      <c r="F145" s="47">
        <f>IF(J145="LINE ITEM",IFERROR(INDEX(Builder[Shifts / Units],I145),""),"")</f>
        <v/>
      </c>
      <c r="G145" s="50">
        <f>IF(J145="LINE ITEM",IFERROR(INDEX(Builder[Amount (auto)],I145),""),"")</f>
        <v/>
      </c>
      <c r="I145">
        <f>ROW()-23</f>
        <v/>
      </c>
      <c r="J145">
        <f>INDEX(Builder[Row Type],I145)</f>
        <v/>
      </c>
    </row>
    <row r="146" hidden="1" ht="27.75" customHeight="1" s="63">
      <c r="B146" s="47">
        <f>IF(J146="LINE ITEM",IFERROR(INDEX(Builder[Qty],I146),""),"")</f>
        <v/>
      </c>
      <c r="C146" s="48">
        <f>IF(J146="SECTION HEADER",INDEX(Builder[Section Text (auto)],I146),IF(J146="LINE ITEM","x "&amp;T(INDEX(Builder[Final Description (auto)],I146)),""))</f>
        <v/>
      </c>
      <c r="D146" s="49">
        <f>IF(J146="LINE ITEM",IF(T(INDEX(Builder[Officer Type],I146))&lt;&gt;"","",T(INDEX(Builder[Notes / Posting Location],I146))),"")</f>
        <v/>
      </c>
      <c r="E146" s="50">
        <f>IF(J146="LINE ITEM",IFERROR(INDEX(Builder[Final Unit Price (auto)],I146),""),"")</f>
        <v/>
      </c>
      <c r="F146" s="47">
        <f>IF(J146="LINE ITEM",IFERROR(INDEX(Builder[Shifts / Units],I146),""),"")</f>
        <v/>
      </c>
      <c r="G146" s="50">
        <f>IF(J146="LINE ITEM",IFERROR(INDEX(Builder[Amount (auto)],I146),""),"")</f>
        <v/>
      </c>
      <c r="I146">
        <f>ROW()-23</f>
        <v/>
      </c>
      <c r="J146">
        <f>INDEX(Builder[Row Type],I146)</f>
        <v/>
      </c>
    </row>
    <row r="147" hidden="1" ht="27.75" customHeight="1" s="63">
      <c r="B147" s="47">
        <f>IF(J147="LINE ITEM",IFERROR(INDEX(Builder[Qty],I147),""),"")</f>
        <v/>
      </c>
      <c r="C147" s="48">
        <f>IF(J147="SECTION HEADER",INDEX(Builder[Section Text (auto)],I147),IF(J147="LINE ITEM","x "&amp;T(INDEX(Builder[Final Description (auto)],I147)),""))</f>
        <v/>
      </c>
      <c r="D147" s="49">
        <f>IF(J147="LINE ITEM",IF(T(INDEX(Builder[Officer Type],I147))&lt;&gt;"","",T(INDEX(Builder[Notes / Posting Location],I147))),"")</f>
        <v/>
      </c>
      <c r="E147" s="50">
        <f>IF(J147="LINE ITEM",IFERROR(INDEX(Builder[Final Unit Price (auto)],I147),""),"")</f>
        <v/>
      </c>
      <c r="F147" s="47">
        <f>IF(J147="LINE ITEM",IFERROR(INDEX(Builder[Shifts / Units],I147),""),"")</f>
        <v/>
      </c>
      <c r="G147" s="50">
        <f>IF(J147="LINE ITEM",IFERROR(INDEX(Builder[Amount (auto)],I147),""),"")</f>
        <v/>
      </c>
      <c r="I147">
        <f>ROW()-23</f>
        <v/>
      </c>
      <c r="J147">
        <f>INDEX(Builder[Row Type],I147)</f>
        <v/>
      </c>
    </row>
    <row r="148" hidden="1" ht="27.75" customHeight="1" s="63">
      <c r="B148" s="47">
        <f>IF(J148="LINE ITEM",IFERROR(INDEX(Builder[Qty],I148),""),"")</f>
        <v/>
      </c>
      <c r="C148" s="48">
        <f>IF(J148="SECTION HEADER",INDEX(Builder[Section Text (auto)],I148),IF(J148="LINE ITEM","x "&amp;T(INDEX(Builder[Final Description (auto)],I148)),""))</f>
        <v/>
      </c>
      <c r="D148" s="49">
        <f>IF(J148="LINE ITEM",IF(T(INDEX(Builder[Officer Type],I148))&lt;&gt;"","",T(INDEX(Builder[Notes / Posting Location],I148))),"")</f>
        <v/>
      </c>
      <c r="E148" s="50">
        <f>IF(J148="LINE ITEM",IFERROR(INDEX(Builder[Final Unit Price (auto)],I148),""),"")</f>
        <v/>
      </c>
      <c r="F148" s="47">
        <f>IF(J148="LINE ITEM",IFERROR(INDEX(Builder[Shifts / Units],I148),""),"")</f>
        <v/>
      </c>
      <c r="G148" s="50">
        <f>IF(J148="LINE ITEM",IFERROR(INDEX(Builder[Amount (auto)],I148),""),"")</f>
        <v/>
      </c>
      <c r="I148">
        <f>ROW()-23</f>
        <v/>
      </c>
      <c r="J148">
        <f>INDEX(Builder[Row Type],I148)</f>
        <v/>
      </c>
    </row>
    <row r="149" hidden="1" ht="27.75" customHeight="1" s="63">
      <c r="B149" s="47">
        <f>IF(J149="LINE ITEM",IFERROR(INDEX(Builder[Qty],I149),""),"")</f>
        <v/>
      </c>
      <c r="C149" s="48">
        <f>IF(J149="SECTION HEADER",INDEX(Builder[Section Text (auto)],I149),IF(J149="LINE ITEM","x "&amp;T(INDEX(Builder[Final Description (auto)],I149)),""))</f>
        <v/>
      </c>
      <c r="D149" s="49">
        <f>IF(J149="LINE ITEM",IF(T(INDEX(Builder[Officer Type],I149))&lt;&gt;"","",T(INDEX(Builder[Notes / Posting Location],I149))),"")</f>
        <v/>
      </c>
      <c r="E149" s="50">
        <f>IF(J149="LINE ITEM",IFERROR(INDEX(Builder[Final Unit Price (auto)],I149),""),"")</f>
        <v/>
      </c>
      <c r="F149" s="47">
        <f>IF(J149="LINE ITEM",IFERROR(INDEX(Builder[Shifts / Units],I149),""),"")</f>
        <v/>
      </c>
      <c r="G149" s="50">
        <f>IF(J149="LINE ITEM",IFERROR(INDEX(Builder[Amount (auto)],I149),""),"")</f>
        <v/>
      </c>
      <c r="I149">
        <f>ROW()-23</f>
        <v/>
      </c>
      <c r="J149">
        <f>INDEX(Builder[Row Type],I149)</f>
        <v/>
      </c>
    </row>
    <row r="150" hidden="1" ht="27.75" customHeight="1" s="63">
      <c r="B150" s="47">
        <f>IF(J150="LINE ITEM",IFERROR(INDEX(Builder[Qty],I150),""),"")</f>
        <v/>
      </c>
      <c r="C150" s="48">
        <f>IF(J150="SECTION HEADER",INDEX(Builder[Section Text (auto)],I150),IF(J150="LINE ITEM","x "&amp;T(INDEX(Builder[Final Description (auto)],I150)),""))</f>
        <v/>
      </c>
      <c r="D150" s="49">
        <f>IF(J150="LINE ITEM",IF(T(INDEX(Builder[Officer Type],I150))&lt;&gt;"","",T(INDEX(Builder[Notes / Posting Location],I150))),"")</f>
        <v/>
      </c>
      <c r="E150" s="50">
        <f>IF(J150="LINE ITEM",IFERROR(INDEX(Builder[Final Unit Price (auto)],I150),""),"")</f>
        <v/>
      </c>
      <c r="F150" s="47">
        <f>IF(J150="LINE ITEM",IFERROR(INDEX(Builder[Shifts / Units],I150),""),"")</f>
        <v/>
      </c>
      <c r="G150" s="50">
        <f>IF(J150="LINE ITEM",IFERROR(INDEX(Builder[Amount (auto)],I150),""),"")</f>
        <v/>
      </c>
      <c r="I150">
        <f>ROW()-23</f>
        <v/>
      </c>
      <c r="J150">
        <f>INDEX(Builder[Row Type],I150)</f>
        <v/>
      </c>
    </row>
    <row r="151" hidden="1" ht="27.75" customHeight="1" s="63">
      <c r="B151" s="47">
        <f>IF(J151="LINE ITEM",IFERROR(INDEX(Builder[Qty],I151),""),"")</f>
        <v/>
      </c>
      <c r="C151" s="48">
        <f>IF(J151="SECTION HEADER",INDEX(Builder[Section Text (auto)],I151),IF(J151="LINE ITEM","x "&amp;T(INDEX(Builder[Final Description (auto)],I151)),""))</f>
        <v/>
      </c>
      <c r="D151" s="49">
        <f>IF(J151="LINE ITEM",IF(T(INDEX(Builder[Officer Type],I151))&lt;&gt;"","",T(INDEX(Builder[Notes / Posting Location],I151))),"")</f>
        <v/>
      </c>
      <c r="E151" s="50">
        <f>IF(J151="LINE ITEM",IFERROR(INDEX(Builder[Final Unit Price (auto)],I151),""),"")</f>
        <v/>
      </c>
      <c r="F151" s="47">
        <f>IF(J151="LINE ITEM",IFERROR(INDEX(Builder[Shifts / Units],I151),""),"")</f>
        <v/>
      </c>
      <c r="G151" s="50">
        <f>IF(J151="LINE ITEM",IFERROR(INDEX(Builder[Amount (auto)],I151),""),"")</f>
        <v/>
      </c>
      <c r="I151">
        <f>ROW()-23</f>
        <v/>
      </c>
      <c r="J151">
        <f>INDEX(Builder[Row Type],I151)</f>
        <v/>
      </c>
    </row>
    <row r="152" hidden="1" ht="27.75" customHeight="1" s="63">
      <c r="B152" s="47">
        <f>IF(J152="LINE ITEM",IFERROR(INDEX(Builder[Qty],I152),""),"")</f>
        <v/>
      </c>
      <c r="C152" s="48">
        <f>IF(J152="SECTION HEADER",INDEX(Builder[Section Text (auto)],I152),IF(J152="LINE ITEM","x "&amp;T(INDEX(Builder[Final Description (auto)],I152)),""))</f>
        <v/>
      </c>
      <c r="D152" s="49">
        <f>IF(J152="LINE ITEM",IF(T(INDEX(Builder[Officer Type],I152))&lt;&gt;"","",T(INDEX(Builder[Notes / Posting Location],I152))),"")</f>
        <v/>
      </c>
      <c r="E152" s="50">
        <f>IF(J152="LINE ITEM",IFERROR(INDEX(Builder[Final Unit Price (auto)],I152),""),"")</f>
        <v/>
      </c>
      <c r="F152" s="47">
        <f>IF(J152="LINE ITEM",IFERROR(INDEX(Builder[Shifts / Units],I152),""),"")</f>
        <v/>
      </c>
      <c r="G152" s="50">
        <f>IF(J152="LINE ITEM",IFERROR(INDEX(Builder[Amount (auto)],I152),""),"")</f>
        <v/>
      </c>
      <c r="I152">
        <f>ROW()-23</f>
        <v/>
      </c>
      <c r="J152">
        <f>INDEX(Builder[Row Type],I152)</f>
        <v/>
      </c>
    </row>
    <row r="153" hidden="1" ht="27.75" customHeight="1" s="63">
      <c r="B153" s="47">
        <f>IF(J153="LINE ITEM",IFERROR(INDEX(Builder[Qty],I153),""),"")</f>
        <v/>
      </c>
      <c r="C153" s="48">
        <f>IF(J153="SECTION HEADER",INDEX(Builder[Section Text (auto)],I153),IF(J153="LINE ITEM","x "&amp;T(INDEX(Builder[Final Description (auto)],I153)),""))</f>
        <v/>
      </c>
      <c r="D153" s="49">
        <f>IF(J153="LINE ITEM",IF(T(INDEX(Builder[Officer Type],I153))&lt;&gt;"","",T(INDEX(Builder[Notes / Posting Location],I153))),"")</f>
        <v/>
      </c>
      <c r="E153" s="50">
        <f>IF(J153="LINE ITEM",IFERROR(INDEX(Builder[Final Unit Price (auto)],I153),""),"")</f>
        <v/>
      </c>
      <c r="F153" s="47">
        <f>IF(J153="LINE ITEM",IFERROR(INDEX(Builder[Shifts / Units],I153),""),"")</f>
        <v/>
      </c>
      <c r="G153" s="50">
        <f>IF(J153="LINE ITEM",IFERROR(INDEX(Builder[Amount (auto)],I153),""),"")</f>
        <v/>
      </c>
      <c r="I153">
        <f>ROW()-23</f>
        <v/>
      </c>
      <c r="J153">
        <f>INDEX(Builder[Row Type],I153)</f>
        <v/>
      </c>
    </row>
    <row r="154" hidden="1" ht="27.75" customHeight="1" s="63">
      <c r="B154" s="47">
        <f>IF(J154="LINE ITEM",IFERROR(INDEX(Builder[Qty],I154),""),"")</f>
        <v/>
      </c>
      <c r="C154" s="48">
        <f>IF(J154="SECTION HEADER",INDEX(Builder[Section Text (auto)],I154),IF(J154="LINE ITEM","x "&amp;T(INDEX(Builder[Final Description (auto)],I154)),""))</f>
        <v/>
      </c>
      <c r="D154" s="49">
        <f>IF(J154="LINE ITEM",IF(T(INDEX(Builder[Officer Type],I154))&lt;&gt;"","",T(INDEX(Builder[Notes / Posting Location],I154))),"")</f>
        <v/>
      </c>
      <c r="E154" s="50">
        <f>IF(J154="LINE ITEM",IFERROR(INDEX(Builder[Final Unit Price (auto)],I154),""),"")</f>
        <v/>
      </c>
      <c r="F154" s="47">
        <f>IF(J154="LINE ITEM",IFERROR(INDEX(Builder[Shifts / Units],I154),""),"")</f>
        <v/>
      </c>
      <c r="G154" s="50">
        <f>IF(J154="LINE ITEM",IFERROR(INDEX(Builder[Amount (auto)],I154),""),"")</f>
        <v/>
      </c>
      <c r="I154">
        <f>ROW()-23</f>
        <v/>
      </c>
      <c r="J154">
        <f>INDEX(Builder[Row Type],I154)</f>
        <v/>
      </c>
    </row>
    <row r="155" hidden="1" ht="27.75" customHeight="1" s="63">
      <c r="B155" s="47">
        <f>IF(J155="LINE ITEM",IFERROR(INDEX(Builder[Qty],I155),""),"")</f>
        <v/>
      </c>
      <c r="C155" s="48">
        <f>IF(J155="SECTION HEADER",INDEX(Builder[Section Text (auto)],I155),IF(J155="LINE ITEM","x "&amp;T(INDEX(Builder[Final Description (auto)],I155)),""))</f>
        <v/>
      </c>
      <c r="D155" s="49">
        <f>IF(J155="LINE ITEM",IF(T(INDEX(Builder[Officer Type],I155))&lt;&gt;"","",T(INDEX(Builder[Notes / Posting Location],I155))),"")</f>
        <v/>
      </c>
      <c r="E155" s="50">
        <f>IF(J155="LINE ITEM",IFERROR(INDEX(Builder[Final Unit Price (auto)],I155),""),"")</f>
        <v/>
      </c>
      <c r="F155" s="47">
        <f>IF(J155="LINE ITEM",IFERROR(INDEX(Builder[Shifts / Units],I155),""),"")</f>
        <v/>
      </c>
      <c r="G155" s="50">
        <f>IF(J155="LINE ITEM",IFERROR(INDEX(Builder[Amount (auto)],I155),""),"")</f>
        <v/>
      </c>
      <c r="I155">
        <f>ROW()-23</f>
        <v/>
      </c>
      <c r="J155">
        <f>INDEX(Builder[Row Type],I155)</f>
        <v/>
      </c>
    </row>
    <row r="156" hidden="1" ht="27.75" customHeight="1" s="63">
      <c r="B156" s="47">
        <f>IF(J156="LINE ITEM",IFERROR(INDEX(Builder[Qty],I156),""),"")</f>
        <v/>
      </c>
      <c r="C156" s="48">
        <f>IF(J156="SECTION HEADER",INDEX(Builder[Section Text (auto)],I156),IF(J156="LINE ITEM","x "&amp;T(INDEX(Builder[Final Description (auto)],I156)),""))</f>
        <v/>
      </c>
      <c r="D156" s="49">
        <f>IF(J156="LINE ITEM",IF(T(INDEX(Builder[Officer Type],I156))&lt;&gt;"","",T(INDEX(Builder[Notes / Posting Location],I156))),"")</f>
        <v/>
      </c>
      <c r="E156" s="50">
        <f>IF(J156="LINE ITEM",IFERROR(INDEX(Builder[Final Unit Price (auto)],I156),""),"")</f>
        <v/>
      </c>
      <c r="F156" s="47">
        <f>IF(J156="LINE ITEM",IFERROR(INDEX(Builder[Shifts / Units],I156),""),"")</f>
        <v/>
      </c>
      <c r="G156" s="50">
        <f>IF(J156="LINE ITEM",IFERROR(INDEX(Builder[Amount (auto)],I156),""),"")</f>
        <v/>
      </c>
      <c r="I156">
        <f>ROW()-23</f>
        <v/>
      </c>
      <c r="J156">
        <f>INDEX(Builder[Row Type],I156)</f>
        <v/>
      </c>
    </row>
    <row r="157" hidden="1" ht="27.75" customHeight="1" s="63">
      <c r="B157" s="47">
        <f>IF(J157="LINE ITEM",IFERROR(INDEX(Builder[Qty],I157),""),"")</f>
        <v/>
      </c>
      <c r="C157" s="48">
        <f>IF(J157="SECTION HEADER",INDEX(Builder[Section Text (auto)],I157),IF(J157="LINE ITEM","x "&amp;T(INDEX(Builder[Final Description (auto)],I157)),""))</f>
        <v/>
      </c>
      <c r="D157" s="49">
        <f>IF(J157="LINE ITEM",IF(T(INDEX(Builder[Officer Type],I157))&lt;&gt;"","",T(INDEX(Builder[Notes / Posting Location],I157))),"")</f>
        <v/>
      </c>
      <c r="E157" s="50">
        <f>IF(J157="LINE ITEM",IFERROR(INDEX(Builder[Final Unit Price (auto)],I157),""),"")</f>
        <v/>
      </c>
      <c r="F157" s="47">
        <f>IF(J157="LINE ITEM",IFERROR(INDEX(Builder[Shifts / Units],I157),""),"")</f>
        <v/>
      </c>
      <c r="G157" s="50">
        <f>IF(J157="LINE ITEM",IFERROR(INDEX(Builder[Amount (auto)],I157),""),"")</f>
        <v/>
      </c>
      <c r="I157">
        <f>ROW()-23</f>
        <v/>
      </c>
      <c r="J157">
        <f>INDEX(Builder[Row Type],I157)</f>
        <v/>
      </c>
    </row>
    <row r="158" hidden="1" ht="27.75" customHeight="1" s="63">
      <c r="B158" s="47">
        <f>IF(J158="LINE ITEM",IFERROR(INDEX(Builder[Qty],I158),""),"")</f>
        <v/>
      </c>
      <c r="C158" s="48">
        <f>IF(J158="SECTION HEADER",INDEX(Builder[Section Text (auto)],I158),IF(J158="LINE ITEM","x "&amp;T(INDEX(Builder[Final Description (auto)],I158)),""))</f>
        <v/>
      </c>
      <c r="D158" s="49">
        <f>IF(J158="LINE ITEM",IF(T(INDEX(Builder[Officer Type],I158))&lt;&gt;"","",T(INDEX(Builder[Notes / Posting Location],I158))),"")</f>
        <v/>
      </c>
      <c r="E158" s="50">
        <f>IF(J158="LINE ITEM",IFERROR(INDEX(Builder[Final Unit Price (auto)],I158),""),"")</f>
        <v/>
      </c>
      <c r="F158" s="47">
        <f>IF(J158="LINE ITEM",IFERROR(INDEX(Builder[Shifts / Units],I158),""),"")</f>
        <v/>
      </c>
      <c r="G158" s="50">
        <f>IF(J158="LINE ITEM",IFERROR(INDEX(Builder[Amount (auto)],I158),""),"")</f>
        <v/>
      </c>
      <c r="I158">
        <f>ROW()-23</f>
        <v/>
      </c>
      <c r="J158">
        <f>INDEX(Builder[Row Type],I158)</f>
        <v/>
      </c>
    </row>
    <row r="159" hidden="1" ht="27.75" customHeight="1" s="63">
      <c r="B159" s="47">
        <f>IF(J159="LINE ITEM",IFERROR(INDEX(Builder[Qty],I159),""),"")</f>
        <v/>
      </c>
      <c r="C159" s="48">
        <f>IF(J159="SECTION HEADER",INDEX(Builder[Section Text (auto)],I159),IF(J159="LINE ITEM","x "&amp;T(INDEX(Builder[Final Description (auto)],I159)),""))</f>
        <v/>
      </c>
      <c r="D159" s="49">
        <f>IF(J159="LINE ITEM",IF(T(INDEX(Builder[Officer Type],I159))&lt;&gt;"","",T(INDEX(Builder[Notes / Posting Location],I159))),"")</f>
        <v/>
      </c>
      <c r="E159" s="50">
        <f>IF(J159="LINE ITEM",IFERROR(INDEX(Builder[Final Unit Price (auto)],I159),""),"")</f>
        <v/>
      </c>
      <c r="F159" s="47">
        <f>IF(J159="LINE ITEM",IFERROR(INDEX(Builder[Shifts / Units],I159),""),"")</f>
        <v/>
      </c>
      <c r="G159" s="50">
        <f>IF(J159="LINE ITEM",IFERROR(INDEX(Builder[Amount (auto)],I159),""),"")</f>
        <v/>
      </c>
      <c r="I159">
        <f>ROW()-23</f>
        <v/>
      </c>
      <c r="J159">
        <f>INDEX(Builder[Row Type],I159)</f>
        <v/>
      </c>
    </row>
    <row r="160" hidden="1" ht="27.75" customHeight="1" s="63">
      <c r="B160" s="47">
        <f>IF(J160="LINE ITEM",IFERROR(INDEX(Builder[Qty],I160),""),"")</f>
        <v/>
      </c>
      <c r="C160" s="48">
        <f>IF(J160="SECTION HEADER",INDEX(Builder[Section Text (auto)],I160),IF(J160="LINE ITEM","x "&amp;T(INDEX(Builder[Final Description (auto)],I160)),""))</f>
        <v/>
      </c>
      <c r="D160" s="49">
        <f>IF(J160="LINE ITEM",IF(T(INDEX(Builder[Officer Type],I160))&lt;&gt;"","",T(INDEX(Builder[Notes / Posting Location],I160))),"")</f>
        <v/>
      </c>
      <c r="E160" s="50">
        <f>IF(J160="LINE ITEM",IFERROR(INDEX(Builder[Final Unit Price (auto)],I160),""),"")</f>
        <v/>
      </c>
      <c r="F160" s="47">
        <f>IF(J160="LINE ITEM",IFERROR(INDEX(Builder[Shifts / Units],I160),""),"")</f>
        <v/>
      </c>
      <c r="G160" s="50">
        <f>IF(J160="LINE ITEM",IFERROR(INDEX(Builder[Amount (auto)],I160),""),"")</f>
        <v/>
      </c>
      <c r="I160">
        <f>ROW()-23</f>
        <v/>
      </c>
      <c r="J160">
        <f>INDEX(Builder[Row Type],I160)</f>
        <v/>
      </c>
    </row>
    <row r="161" hidden="1" ht="27.75" customHeight="1" s="63">
      <c r="B161" s="47">
        <f>IF(J161="LINE ITEM",IFERROR(INDEX(Builder[Qty],I161),""),"")</f>
        <v/>
      </c>
      <c r="C161" s="48">
        <f>IF(J161="SECTION HEADER",INDEX(Builder[Section Text (auto)],I161),IF(J161="LINE ITEM","x "&amp;T(INDEX(Builder[Final Description (auto)],I161)),""))</f>
        <v/>
      </c>
      <c r="D161" s="49">
        <f>IF(J161="LINE ITEM",IF(T(INDEX(Builder[Officer Type],I161))&lt;&gt;"","",T(INDEX(Builder[Notes / Posting Location],I161))),"")</f>
        <v/>
      </c>
      <c r="E161" s="50">
        <f>IF(J161="LINE ITEM",IFERROR(INDEX(Builder[Final Unit Price (auto)],I161),""),"")</f>
        <v/>
      </c>
      <c r="F161" s="47">
        <f>IF(J161="LINE ITEM",IFERROR(INDEX(Builder[Shifts / Units],I161),""),"")</f>
        <v/>
      </c>
      <c r="G161" s="50">
        <f>IF(J161="LINE ITEM",IFERROR(INDEX(Builder[Amount (auto)],I161),""),"")</f>
        <v/>
      </c>
      <c r="I161">
        <f>ROW()-23</f>
        <v/>
      </c>
      <c r="J161">
        <f>INDEX(Builder[Row Type],I161)</f>
        <v/>
      </c>
    </row>
    <row r="162" hidden="1" ht="27.75" customHeight="1" s="63">
      <c r="B162" s="47">
        <f>IF(J162="LINE ITEM",IFERROR(INDEX(Builder[Qty],I162),""),"")</f>
        <v/>
      </c>
      <c r="C162" s="48">
        <f>IF(J162="SECTION HEADER",INDEX(Builder[Section Text (auto)],I162),IF(J162="LINE ITEM","x "&amp;T(INDEX(Builder[Final Description (auto)],I162)),""))</f>
        <v/>
      </c>
      <c r="D162" s="49">
        <f>IF(J162="LINE ITEM",IF(T(INDEX(Builder[Officer Type],I162))&lt;&gt;"","",T(INDEX(Builder[Notes / Posting Location],I162))),"")</f>
        <v/>
      </c>
      <c r="E162" s="50">
        <f>IF(J162="LINE ITEM",IFERROR(INDEX(Builder[Final Unit Price (auto)],I162),""),"")</f>
        <v/>
      </c>
      <c r="F162" s="47">
        <f>IF(J162="LINE ITEM",IFERROR(INDEX(Builder[Shifts / Units],I162),""),"")</f>
        <v/>
      </c>
      <c r="G162" s="50">
        <f>IF(J162="LINE ITEM",IFERROR(INDEX(Builder[Amount (auto)],I162),""),"")</f>
        <v/>
      </c>
      <c r="I162">
        <f>ROW()-23</f>
        <v/>
      </c>
      <c r="J162">
        <f>INDEX(Builder[Row Type],I162)</f>
        <v/>
      </c>
    </row>
    <row r="163" hidden="1" ht="27.75" customHeight="1" s="63">
      <c r="B163" s="47">
        <f>IF(J163="LINE ITEM",IFERROR(INDEX(Builder[Qty],I163),""),"")</f>
        <v/>
      </c>
      <c r="C163" s="48">
        <f>IF(J163="SECTION HEADER",INDEX(Builder[Section Text (auto)],I163),IF(J163="LINE ITEM","x "&amp;T(INDEX(Builder[Final Description (auto)],I163)),""))</f>
        <v/>
      </c>
      <c r="D163" s="49">
        <f>IF(J163="LINE ITEM",IF(T(INDEX(Builder[Officer Type],I163))&lt;&gt;"","",T(INDEX(Builder[Notes / Posting Location],I163))),"")</f>
        <v/>
      </c>
      <c r="E163" s="50">
        <f>IF(J163="LINE ITEM",IFERROR(INDEX(Builder[Final Unit Price (auto)],I163),""),"")</f>
        <v/>
      </c>
      <c r="F163" s="47">
        <f>IF(J163="LINE ITEM",IFERROR(INDEX(Builder[Shifts / Units],I163),""),"")</f>
        <v/>
      </c>
      <c r="G163" s="50">
        <f>IF(J163="LINE ITEM",IFERROR(INDEX(Builder[Amount (auto)],I163),""),"")</f>
        <v/>
      </c>
      <c r="I163">
        <f>ROW()-23</f>
        <v/>
      </c>
      <c r="J163">
        <f>INDEX(Builder[Row Type],I163)</f>
        <v/>
      </c>
    </row>
    <row r="164" hidden="1" ht="27.75" customHeight="1" s="63">
      <c r="B164" s="47">
        <f>IF(J164="LINE ITEM",IFERROR(INDEX(Builder[Qty],I164),""),"")</f>
        <v/>
      </c>
      <c r="C164" s="48">
        <f>IF(J164="SECTION HEADER",INDEX(Builder[Section Text (auto)],I164),IF(J164="LINE ITEM","x "&amp;T(INDEX(Builder[Final Description (auto)],I164)),""))</f>
        <v/>
      </c>
      <c r="D164" s="49">
        <f>IF(J164="LINE ITEM",IF(T(INDEX(Builder[Officer Type],I164))&lt;&gt;"","",T(INDEX(Builder[Notes / Posting Location],I164))),"")</f>
        <v/>
      </c>
      <c r="E164" s="50">
        <f>IF(J164="LINE ITEM",IFERROR(INDEX(Builder[Final Unit Price (auto)],I164),""),"")</f>
        <v/>
      </c>
      <c r="F164" s="47">
        <f>IF(J164="LINE ITEM",IFERROR(INDEX(Builder[Shifts / Units],I164),""),"")</f>
        <v/>
      </c>
      <c r="G164" s="50">
        <f>IF(J164="LINE ITEM",IFERROR(INDEX(Builder[Amount (auto)],I164),""),"")</f>
        <v/>
      </c>
      <c r="I164">
        <f>ROW()-23</f>
        <v/>
      </c>
      <c r="J164">
        <f>INDEX(Builder[Row Type],I164)</f>
        <v/>
      </c>
    </row>
    <row r="165" hidden="1" ht="27.75" customHeight="1" s="63">
      <c r="B165" s="47">
        <f>IF(J165="LINE ITEM",IFERROR(INDEX(Builder[Qty],I165),""),"")</f>
        <v/>
      </c>
      <c r="C165" s="48">
        <f>IF(J165="SECTION HEADER",INDEX(Builder[Section Text (auto)],I165),IF(J165="LINE ITEM","x "&amp;T(INDEX(Builder[Final Description (auto)],I165)),""))</f>
        <v/>
      </c>
      <c r="D165" s="49">
        <f>IF(J165="LINE ITEM",IF(T(INDEX(Builder[Officer Type],I165))&lt;&gt;"","",T(INDEX(Builder[Notes / Posting Location],I165))),"")</f>
        <v/>
      </c>
      <c r="E165" s="50">
        <f>IF(J165="LINE ITEM",IFERROR(INDEX(Builder[Final Unit Price (auto)],I165),""),"")</f>
        <v/>
      </c>
      <c r="F165" s="47">
        <f>IF(J165="LINE ITEM",IFERROR(INDEX(Builder[Shifts / Units],I165),""),"")</f>
        <v/>
      </c>
      <c r="G165" s="50">
        <f>IF(J165="LINE ITEM",IFERROR(INDEX(Builder[Amount (auto)],I165),""),"")</f>
        <v/>
      </c>
      <c r="I165">
        <f>ROW()-23</f>
        <v/>
      </c>
      <c r="J165">
        <f>INDEX(Builder[Row Type],I165)</f>
        <v/>
      </c>
    </row>
    <row r="166" hidden="1" ht="27.75" customHeight="1" s="63">
      <c r="B166" s="47">
        <f>IF(J166="LINE ITEM",IFERROR(INDEX(Builder[Qty],I166),""),"")</f>
        <v/>
      </c>
      <c r="C166" s="48">
        <f>IF(J166="SECTION HEADER",INDEX(Builder[Section Text (auto)],I166),IF(J166="LINE ITEM","x "&amp;T(INDEX(Builder[Final Description (auto)],I166)),""))</f>
        <v/>
      </c>
      <c r="D166" s="49">
        <f>IF(J166="LINE ITEM",IF(T(INDEX(Builder[Officer Type],I166))&lt;&gt;"","",T(INDEX(Builder[Notes / Posting Location],I166))),"")</f>
        <v/>
      </c>
      <c r="E166" s="50">
        <f>IF(J166="LINE ITEM",IFERROR(INDEX(Builder[Final Unit Price (auto)],I166),""),"")</f>
        <v/>
      </c>
      <c r="F166" s="47">
        <f>IF(J166="LINE ITEM",IFERROR(INDEX(Builder[Shifts / Units],I166),""),"")</f>
        <v/>
      </c>
      <c r="G166" s="50">
        <f>IF(J166="LINE ITEM",IFERROR(INDEX(Builder[Amount (auto)],I166),""),"")</f>
        <v/>
      </c>
      <c r="I166">
        <f>ROW()-23</f>
        <v/>
      </c>
      <c r="J166">
        <f>INDEX(Builder[Row Type],I166)</f>
        <v/>
      </c>
    </row>
    <row r="167" hidden="1" ht="27.75" customHeight="1" s="63">
      <c r="B167" s="47">
        <f>IF(J167="LINE ITEM",IFERROR(INDEX(Builder[Qty],I167),""),"")</f>
        <v/>
      </c>
      <c r="C167" s="48">
        <f>IF(J167="SECTION HEADER",INDEX(Builder[Section Text (auto)],I167),IF(J167="LINE ITEM","x "&amp;T(INDEX(Builder[Final Description (auto)],I167)),""))</f>
        <v/>
      </c>
      <c r="D167" s="49">
        <f>IF(J167="LINE ITEM",IF(T(INDEX(Builder[Officer Type],I167))&lt;&gt;"","",T(INDEX(Builder[Notes / Posting Location],I167))),"")</f>
        <v/>
      </c>
      <c r="E167" s="50">
        <f>IF(J167="LINE ITEM",IFERROR(INDEX(Builder[Final Unit Price (auto)],I167),""),"")</f>
        <v/>
      </c>
      <c r="F167" s="47">
        <f>IF(J167="LINE ITEM",IFERROR(INDEX(Builder[Shifts / Units],I167),""),"")</f>
        <v/>
      </c>
      <c r="G167" s="50">
        <f>IF(J167="LINE ITEM",IFERROR(INDEX(Builder[Amount (auto)],I167),""),"")</f>
        <v/>
      </c>
      <c r="I167">
        <f>ROW()-23</f>
        <v/>
      </c>
      <c r="J167">
        <f>INDEX(Builder[Row Type],I167)</f>
        <v/>
      </c>
    </row>
    <row r="168" hidden="1" ht="27.75" customHeight="1" s="63">
      <c r="B168" s="47">
        <f>IF(J168="LINE ITEM",IFERROR(INDEX(Builder[Qty],I168),""),"")</f>
        <v/>
      </c>
      <c r="C168" s="48">
        <f>IF(J168="SECTION HEADER",INDEX(Builder[Section Text (auto)],I168),IF(J168="LINE ITEM","x "&amp;T(INDEX(Builder[Final Description (auto)],I168)),""))</f>
        <v/>
      </c>
      <c r="D168" s="49">
        <f>IF(J168="LINE ITEM",IF(T(INDEX(Builder[Officer Type],I168))&lt;&gt;"","",T(INDEX(Builder[Notes / Posting Location],I168))),"")</f>
        <v/>
      </c>
      <c r="E168" s="50">
        <f>IF(J168="LINE ITEM",IFERROR(INDEX(Builder[Final Unit Price (auto)],I168),""),"")</f>
        <v/>
      </c>
      <c r="F168" s="47">
        <f>IF(J168="LINE ITEM",IFERROR(INDEX(Builder[Shifts / Units],I168),""),"")</f>
        <v/>
      </c>
      <c r="G168" s="50">
        <f>IF(J168="LINE ITEM",IFERROR(INDEX(Builder[Amount (auto)],I168),""),"")</f>
        <v/>
      </c>
      <c r="I168">
        <f>ROW()-23</f>
        <v/>
      </c>
      <c r="J168">
        <f>INDEX(Builder[Row Type],I168)</f>
        <v/>
      </c>
    </row>
    <row r="169" hidden="1" ht="27.75" customHeight="1" s="63">
      <c r="B169" s="47">
        <f>IF(J169="LINE ITEM",IFERROR(INDEX(Builder[Qty],I169),""),"")</f>
        <v/>
      </c>
      <c r="C169" s="48">
        <f>IF(J169="SECTION HEADER",INDEX(Builder[Section Text (auto)],I169),IF(J169="LINE ITEM","x "&amp;T(INDEX(Builder[Final Description (auto)],I169)),""))</f>
        <v/>
      </c>
      <c r="D169" s="49">
        <f>IF(J169="LINE ITEM",IF(T(INDEX(Builder[Officer Type],I169))&lt;&gt;"","",T(INDEX(Builder[Notes / Posting Location],I169))),"")</f>
        <v/>
      </c>
      <c r="E169" s="50">
        <f>IF(J169="LINE ITEM",IFERROR(INDEX(Builder[Final Unit Price (auto)],I169),""),"")</f>
        <v/>
      </c>
      <c r="F169" s="47">
        <f>IF(J169="LINE ITEM",IFERROR(INDEX(Builder[Shifts / Units],I169),""),"")</f>
        <v/>
      </c>
      <c r="G169" s="50">
        <f>IF(J169="LINE ITEM",IFERROR(INDEX(Builder[Amount (auto)],I169),""),"")</f>
        <v/>
      </c>
      <c r="I169">
        <f>ROW()-23</f>
        <v/>
      </c>
      <c r="J169">
        <f>INDEX(Builder[Row Type],I169)</f>
        <v/>
      </c>
    </row>
    <row r="170" hidden="1" ht="27.75" customHeight="1" s="63">
      <c r="B170" s="47">
        <f>IF(J170="LINE ITEM",IFERROR(INDEX(Builder[Qty],I170),""),"")</f>
        <v/>
      </c>
      <c r="C170" s="48">
        <f>IF(J170="SECTION HEADER",INDEX(Builder[Section Text (auto)],I170),IF(J170="LINE ITEM","x "&amp;T(INDEX(Builder[Final Description (auto)],I170)),""))</f>
        <v/>
      </c>
      <c r="D170" s="49">
        <f>IF(J170="LINE ITEM",IF(T(INDEX(Builder[Officer Type],I170))&lt;&gt;"","",T(INDEX(Builder[Notes / Posting Location],I170))),"")</f>
        <v/>
      </c>
      <c r="E170" s="50">
        <f>IF(J170="LINE ITEM",IFERROR(INDEX(Builder[Final Unit Price (auto)],I170),""),"")</f>
        <v/>
      </c>
      <c r="F170" s="47">
        <f>IF(J170="LINE ITEM",IFERROR(INDEX(Builder[Shifts / Units],I170),""),"")</f>
        <v/>
      </c>
      <c r="G170" s="50">
        <f>IF(J170="LINE ITEM",IFERROR(INDEX(Builder[Amount (auto)],I170),""),"")</f>
        <v/>
      </c>
      <c r="I170">
        <f>ROW()-23</f>
        <v/>
      </c>
      <c r="J170">
        <f>INDEX(Builder[Row Type],I170)</f>
        <v/>
      </c>
    </row>
    <row r="171" hidden="1" ht="27.75" customHeight="1" s="63">
      <c r="B171" s="47">
        <f>IF(J171="LINE ITEM",IFERROR(INDEX(Builder[Qty],I171),""),"")</f>
        <v/>
      </c>
      <c r="C171" s="48">
        <f>IF(J171="SECTION HEADER",INDEX(Builder[Section Text (auto)],I171),IF(J171="LINE ITEM","x "&amp;T(INDEX(Builder[Final Description (auto)],I171)),""))</f>
        <v/>
      </c>
      <c r="D171" s="49">
        <f>IF(J171="LINE ITEM",IF(T(INDEX(Builder[Officer Type],I171))&lt;&gt;"","",T(INDEX(Builder[Notes / Posting Location],I171))),"")</f>
        <v/>
      </c>
      <c r="E171" s="50">
        <f>IF(J171="LINE ITEM",IFERROR(INDEX(Builder[Final Unit Price (auto)],I171),""),"")</f>
        <v/>
      </c>
      <c r="F171" s="47">
        <f>IF(J171="LINE ITEM",IFERROR(INDEX(Builder[Shifts / Units],I171),""),"")</f>
        <v/>
      </c>
      <c r="G171" s="50">
        <f>IF(J171="LINE ITEM",IFERROR(INDEX(Builder[Amount (auto)],I171),""),"")</f>
        <v/>
      </c>
      <c r="I171">
        <f>ROW()-23</f>
        <v/>
      </c>
      <c r="J171">
        <f>INDEX(Builder[Row Type],I171)</f>
        <v/>
      </c>
    </row>
    <row r="172" hidden="1" ht="27.75" customHeight="1" s="63">
      <c r="B172" s="47">
        <f>IF(J172="LINE ITEM",IFERROR(INDEX(Builder[Qty],I172),""),"")</f>
        <v/>
      </c>
      <c r="C172" s="48">
        <f>IF(J172="SECTION HEADER",INDEX(Builder[Section Text (auto)],I172),IF(J172="LINE ITEM","x "&amp;T(INDEX(Builder[Final Description (auto)],I172)),""))</f>
        <v/>
      </c>
      <c r="D172" s="49">
        <f>IF(J172="LINE ITEM",IF(T(INDEX(Builder[Officer Type],I172))&lt;&gt;"","",T(INDEX(Builder[Notes / Posting Location],I172))),"")</f>
        <v/>
      </c>
      <c r="E172" s="50">
        <f>IF(J172="LINE ITEM",IFERROR(INDEX(Builder[Final Unit Price (auto)],I172),""),"")</f>
        <v/>
      </c>
      <c r="F172" s="47">
        <f>IF(J172="LINE ITEM",IFERROR(INDEX(Builder[Shifts / Units],I172),""),"")</f>
        <v/>
      </c>
      <c r="G172" s="50">
        <f>IF(J172="LINE ITEM",IFERROR(INDEX(Builder[Amount (auto)],I172),""),"")</f>
        <v/>
      </c>
      <c r="I172">
        <f>ROW()-23</f>
        <v/>
      </c>
      <c r="J172">
        <f>INDEX(Builder[Row Type],I172)</f>
        <v/>
      </c>
    </row>
    <row r="173" hidden="1" ht="27.75" customHeight="1" s="63">
      <c r="B173" s="47">
        <f>IF(J173="LINE ITEM",IFERROR(INDEX(Builder[Qty],I173),""),"")</f>
        <v/>
      </c>
      <c r="C173" s="48">
        <f>IF(J173="SECTION HEADER",INDEX(Builder[Section Text (auto)],I173),IF(J173="LINE ITEM","x "&amp;T(INDEX(Builder[Final Description (auto)],I173)),""))</f>
        <v/>
      </c>
      <c r="D173" s="49">
        <f>IF(J173="LINE ITEM",IF(T(INDEX(Builder[Officer Type],I173))&lt;&gt;"","",T(INDEX(Builder[Notes / Posting Location],I173))),"")</f>
        <v/>
      </c>
      <c r="E173" s="50">
        <f>IF(J173="LINE ITEM",IFERROR(INDEX(Builder[Final Unit Price (auto)],I173),""),"")</f>
        <v/>
      </c>
      <c r="F173" s="47">
        <f>IF(J173="LINE ITEM",IFERROR(INDEX(Builder[Shifts / Units],I173),""),"")</f>
        <v/>
      </c>
      <c r="G173" s="50">
        <f>IF(J173="LINE ITEM",IFERROR(INDEX(Builder[Amount (auto)],I173),""),"")</f>
        <v/>
      </c>
      <c r="I173">
        <f>ROW()-23</f>
        <v/>
      </c>
      <c r="J173">
        <f>INDEX(Builder[Row Type],I173)</f>
        <v/>
      </c>
    </row>
    <row r="175" hidden="1" ht="13.5" customHeight="1" s="63">
      <c r="B175" s="61">
        <f t="array" ref="B175">IF((SUMPRODUCT(MAX((J24:J173&lt;&gt;"")*ROW(J24:J173))))=0,"","Tip: your last line of data is around row "&amp;(SUMPRODUCT(MAX((J24:J173&lt;&gt;"")*ROW(J24:J173))))&amp;" — select any fully blank rows below that and Hide Rows before exporting to PDF.")</f>
        <v/>
      </c>
    </row>
    <row r="176" ht="18.75" customHeight="1" s="63">
      <c r="B176" s="57" t="inlineStr">
        <is>
          <t>BANKING DETAILS</t>
        </is>
      </c>
      <c r="F176" s="26" t="inlineStr">
        <is>
          <t>SUBTOTAL</t>
        </is>
      </c>
      <c r="G176" s="27">
        <f>SUM(G24:G173)</f>
        <v/>
      </c>
    </row>
    <row r="177" ht="16.5" customHeight="1" s="63">
      <c r="B177" s="56">
        <f>"Bank: "&amp;Setup!C14</f>
        <v/>
      </c>
      <c r="F177" s="26">
        <f>"VAT @ "&amp;TEXT(Setup!C33,"0%")</f>
        <v/>
      </c>
      <c r="G177" s="27">
        <f>G176*Setup!C33</f>
        <v/>
      </c>
    </row>
    <row r="178" ht="21.75" customHeight="1" s="63">
      <c r="B178" s="56">
        <f>"Account No: "&amp;Setup!C15</f>
        <v/>
      </c>
      <c r="F178" s="28" t="inlineStr">
        <is>
          <t>TOTAL DUE</t>
        </is>
      </c>
      <c r="G178" s="29">
        <f>G176+G177</f>
        <v/>
      </c>
    </row>
    <row r="179" ht="16.5" customHeight="1" s="63">
      <c r="B179" s="56">
        <f>"Branch Code: "&amp;Setup!C16</f>
        <v/>
      </c>
    </row>
    <row r="181" ht="18.75" customHeight="1" s="63">
      <c r="B181" s="57" t="inlineStr">
        <is>
          <t>PAYMENT TERMS &amp; CONDITIONS</t>
        </is>
      </c>
    </row>
    <row r="182" ht="15" customHeight="1" s="63">
      <c r="B182" s="58">
        <f>Setup!B42</f>
        <v/>
      </c>
    </row>
    <row r="183" ht="15" customHeight="1" s="63"/>
    <row r="184" ht="15" customHeight="1" s="63"/>
    <row r="185" ht="15" customHeight="1" s="63"/>
    <row r="186" ht="22" customHeight="1" s="63"/>
    <row r="188" ht="18.75" customHeight="1" s="63">
      <c r="B188" s="57" t="inlineStr">
        <is>
          <t>ACCEPTANCE OF QUOTATION</t>
        </is>
      </c>
    </row>
    <row r="189" ht="15.75" customHeight="1" s="63">
      <c r="B189" s="53" t="inlineStr">
        <is>
          <t>I, the undersigned, hereby confirm acceptance of this quotation and agree to the terms and conditions stated herein.</t>
        </is>
      </c>
    </row>
    <row r="191" ht="24" customHeight="1" s="63">
      <c r="B191" s="54" t="inlineStr">
        <is>
          <t>Name (Print): ____________________________</t>
        </is>
      </c>
      <c r="E191" s="54" t="inlineStr">
        <is>
          <t>Date: ________________________</t>
        </is>
      </c>
    </row>
    <row r="193" ht="24" customHeight="1" s="63">
      <c r="B193" s="54" t="inlineStr">
        <is>
          <t>Signature: ________________________________________________</t>
        </is>
      </c>
    </row>
    <row r="195" ht="18" customHeight="1" s="63">
      <c r="B195" s="55" t="inlineStr">
        <is>
          <t>IMPI RMS (Pty) Ltd  t/a  Amandla Protection Services   |   Reg 2017/099360/07   |   VAT 4120277498   |   10 Kosmos Crescent, Rynoue AH, Roodeplaat, Pretoria   |   012 543 0640   |   www.impi-secure.co.za</t>
        </is>
      </c>
    </row>
  </sheetData>
  <sheetProtection selectLockedCells="0" selectUnlockedCells="0" sheet="1" objects="0" insertRows="1" insertHyperlinks="1" autoFilter="1" scenarios="0" formatColumns="0" deleteColumns="1" insertColumns="1" pivotTables="1" deleteRows="1" formatCells="0" formatRows="0" sort="1"/>
  <mergeCells count="39">
    <mergeCell ref="D18:G18"/>
    <mergeCell ref="B16:C16"/>
    <mergeCell ref="D12:G12"/>
    <mergeCell ref="B181:G181"/>
    <mergeCell ref="B1:G1"/>
    <mergeCell ref="E5:F5"/>
    <mergeCell ref="D15:G15"/>
    <mergeCell ref="B175:G175"/>
    <mergeCell ref="B18:C18"/>
    <mergeCell ref="D14:G14"/>
    <mergeCell ref="B176:C176"/>
    <mergeCell ref="B12:C12"/>
    <mergeCell ref="E4:F4"/>
    <mergeCell ref="B21:C21"/>
    <mergeCell ref="B182:G186"/>
    <mergeCell ref="E191:G191"/>
    <mergeCell ref="B3:C7"/>
    <mergeCell ref="B11:C11"/>
    <mergeCell ref="B9:G9"/>
    <mergeCell ref="B14:C14"/>
    <mergeCell ref="B179:C179"/>
    <mergeCell ref="B17:C17"/>
    <mergeCell ref="B13:C13"/>
    <mergeCell ref="E6:F6"/>
    <mergeCell ref="B191:C191"/>
    <mergeCell ref="B189:G189"/>
    <mergeCell ref="B178:C178"/>
    <mergeCell ref="B188:G188"/>
    <mergeCell ref="E3:G3"/>
    <mergeCell ref="D11:G11"/>
    <mergeCell ref="D13:G13"/>
    <mergeCell ref="D17:G17"/>
    <mergeCell ref="B15:C15"/>
    <mergeCell ref="B177:C177"/>
    <mergeCell ref="B193:G193"/>
    <mergeCell ref="E7:F7"/>
    <mergeCell ref="B20:C20"/>
    <mergeCell ref="D16:G16"/>
    <mergeCell ref="B195:G195"/>
  </mergeCells>
  <conditionalFormatting sqref="B24:G173">
    <cfRule type="expression" priority="1" dxfId="0">
      <formula>$J24="SECTION HEADER"</formula>
    </cfRule>
  </conditionalFormatting>
  <pageMargins left="0.4" right="0.4" top="0.5" bottom="0.5" header="0.511811023622047" footer="0.511811023622047"/>
  <pageSetup orientation="portrait" scale="50" fitToHeight="0"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2026-06-25T11:29:47Z</dcterms:created>
  <dcterms:modified xmlns:dcterms="http://purl.org/dc/terms/" xmlns:xsi="http://www.w3.org/2001/XMLSchema-instance" xsi:type="dcterms:W3CDTF">2026-08-12T19:15:41Z</dcterms:modified>
  <cp:lastModifiedBy>Shane Steynfaardt</cp:lastModifiedBy>
  <cp:revision>0</cp:revision>
  <cp:lastPrinted>2026-08-05T14:54:58Z</cp:lastPrinted>
</cp:coreProperties>
</file>